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1EB9661C-BFF8-4160-84F4-045B5B500C7D}" xr6:coauthVersionLast="47" xr6:coauthVersionMax="47" xr10:uidLastSave="{00000000-0000-0000-0000-000000000000}"/>
  <bookViews>
    <workbookView xWindow="240" yWindow="105" windowWidth="14805" windowHeight="8010" firstSheet="7" activeTab="5" xr2:uid="{00000000-000D-0000-FFFF-FFFF00000000}"/>
  </bookViews>
  <sheets>
    <sheet name="PROJECT_OVERVIEW" sheetId="1" r:id="rId1"/>
    <sheet name="CUSTOMERS" sheetId="2" r:id="rId2"/>
    <sheet name="DATA_QUALITY_RULES" sheetId="3" r:id="rId3"/>
    <sheet name="DATA_QUALITY" sheetId="4" r:id="rId4"/>
    <sheet name="CONSENTS" sheetId="5" r:id="rId5"/>
    <sheet name="DATA_INVENTORY" sheetId="6" r:id="rId6"/>
    <sheet name="RISK_REGISTER" sheetId="7" r:id="rId7"/>
    <sheet name="DASHBOAR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2" l="1"/>
  <c r="J13" i="2"/>
  <c r="J9" i="2"/>
  <c r="J10" i="2"/>
  <c r="J11" i="2"/>
  <c r="J8" i="2"/>
  <c r="J3" i="2"/>
  <c r="J4" i="2"/>
  <c r="J5" i="2"/>
  <c r="J6" i="2"/>
  <c r="J2" i="2"/>
  <c r="O13" i="2"/>
  <c r="O12" i="2"/>
  <c r="O7" i="2"/>
  <c r="O8" i="2"/>
  <c r="O9" i="2"/>
  <c r="O10" i="2"/>
  <c r="O6" i="2"/>
  <c r="O3" i="2"/>
  <c r="O4" i="2"/>
  <c r="O2" i="2"/>
  <c r="N13" i="2"/>
  <c r="N14" i="2"/>
  <c r="N12" i="2"/>
  <c r="N3" i="2"/>
  <c r="N4" i="2"/>
  <c r="N5" i="2"/>
  <c r="N6" i="2"/>
  <c r="N7" i="2"/>
  <c r="N8" i="2"/>
  <c r="N9" i="2"/>
  <c r="N10" i="2"/>
  <c r="N2" i="2"/>
  <c r="K8" i="2"/>
  <c r="K10" i="2"/>
  <c r="K11" i="2"/>
  <c r="K12" i="2"/>
  <c r="K13" i="2"/>
  <c r="K14" i="2"/>
  <c r="K9" i="2"/>
  <c r="K6" i="2"/>
  <c r="K7" i="2"/>
  <c r="K4" i="2"/>
  <c r="K5" i="2"/>
  <c r="K3" i="2"/>
  <c r="K2" i="2"/>
  <c r="M12" i="2"/>
  <c r="M13" i="2"/>
  <c r="M14" i="2"/>
  <c r="M11" i="2"/>
  <c r="M3" i="2"/>
  <c r="M4" i="2"/>
  <c r="M5" i="2"/>
  <c r="M6" i="2"/>
  <c r="M7" i="2"/>
  <c r="M8" i="2"/>
  <c r="M9" i="2"/>
  <c r="M2" i="2"/>
  <c r="B11" i="8"/>
  <c r="B10" i="8"/>
  <c r="A5" i="8"/>
  <c r="G6" i="8"/>
  <c r="B27" i="8"/>
  <c r="B26" i="8"/>
  <c r="B13" i="8"/>
  <c r="B12" i="8"/>
  <c r="B36" i="4"/>
  <c r="B35" i="4"/>
  <c r="B34" i="4"/>
  <c r="B33" i="4"/>
  <c r="B32" i="4"/>
  <c r="I3" i="7"/>
  <c r="I4" i="7"/>
  <c r="I5" i="7"/>
  <c r="I6" i="7"/>
  <c r="I2" i="7"/>
  <c r="H3" i="7"/>
  <c r="H4" i="7"/>
  <c r="H5" i="7"/>
  <c r="H6" i="7"/>
  <c r="H2" i="7"/>
  <c r="B29" i="4"/>
  <c r="B28" i="4"/>
  <c r="B27" i="4"/>
  <c r="B25" i="4"/>
  <c r="M3" i="6"/>
  <c r="M4" i="6"/>
  <c r="M5" i="6"/>
  <c r="M6" i="6"/>
  <c r="M7" i="6"/>
  <c r="M8" i="6"/>
  <c r="M9" i="6"/>
  <c r="M2" i="6"/>
  <c r="L3" i="6"/>
  <c r="L4" i="6"/>
  <c r="L5" i="6"/>
  <c r="L6" i="6"/>
  <c r="L7" i="6"/>
  <c r="L8" i="6"/>
  <c r="L9" i="6"/>
  <c r="L2" i="6"/>
  <c r="K3" i="6"/>
  <c r="K4" i="6"/>
  <c r="K5" i="6"/>
  <c r="K6" i="6"/>
  <c r="K7" i="6"/>
  <c r="K8" i="6"/>
  <c r="K9" i="6"/>
  <c r="K2" i="6"/>
  <c r="J3" i="6"/>
  <c r="J4" i="6"/>
  <c r="J5" i="6"/>
  <c r="J6" i="6"/>
  <c r="J7" i="6"/>
  <c r="J8" i="6"/>
  <c r="J9" i="6"/>
  <c r="B26" i="4" s="1"/>
  <c r="J2" i="6"/>
  <c r="B20" i="4"/>
  <c r="B21" i="4"/>
  <c r="B22" i="4"/>
  <c r="B19" i="4"/>
  <c r="B18" i="4"/>
  <c r="L13" i="5"/>
  <c r="K3" i="5"/>
  <c r="K4" i="5"/>
  <c r="K5" i="5"/>
  <c r="K6" i="5"/>
  <c r="K7" i="5"/>
  <c r="K8" i="5"/>
  <c r="K9" i="5"/>
  <c r="K10" i="5"/>
  <c r="K11" i="5"/>
  <c r="K12" i="5"/>
  <c r="K13" i="5"/>
  <c r="K2" i="5"/>
  <c r="L3" i="5"/>
  <c r="L4" i="5"/>
  <c r="L5" i="5"/>
  <c r="L6" i="5"/>
  <c r="L7" i="5"/>
  <c r="L8" i="5"/>
  <c r="L9" i="5"/>
  <c r="L10" i="5"/>
  <c r="L11" i="5"/>
  <c r="L12" i="5"/>
  <c r="L2" i="5"/>
  <c r="J3" i="5"/>
  <c r="J4" i="5"/>
  <c r="J5" i="5"/>
  <c r="J6" i="5"/>
  <c r="J7" i="5"/>
  <c r="J8" i="5"/>
  <c r="J9" i="5"/>
  <c r="J10" i="5"/>
  <c r="J11" i="5"/>
  <c r="J12" i="5"/>
  <c r="J13" i="5"/>
  <c r="J2" i="5"/>
  <c r="I3" i="5"/>
  <c r="I4" i="5"/>
  <c r="I5" i="5"/>
  <c r="I6" i="5"/>
  <c r="I7" i="5"/>
  <c r="I8" i="5"/>
  <c r="I9" i="5"/>
  <c r="I10" i="5"/>
  <c r="I11" i="5"/>
  <c r="I12" i="5"/>
  <c r="I13" i="5"/>
  <c r="I2" i="5"/>
  <c r="B9" i="4"/>
  <c r="B7" i="4"/>
  <c r="B8" i="4"/>
  <c r="B6" i="4"/>
  <c r="B5" i="4"/>
  <c r="B4" i="4"/>
  <c r="P3" i="2"/>
  <c r="P4" i="2"/>
  <c r="P5" i="2"/>
  <c r="P6" i="2"/>
  <c r="P7" i="2"/>
  <c r="P8" i="2"/>
  <c r="P9" i="2"/>
  <c r="P10" i="2"/>
  <c r="P11" i="2"/>
  <c r="P12" i="2"/>
  <c r="P13" i="2"/>
  <c r="P14" i="2"/>
  <c r="P2" i="2"/>
  <c r="O5" i="2"/>
  <c r="O11" i="2"/>
  <c r="O14" i="2"/>
  <c r="N11" i="2"/>
  <c r="M10" i="2"/>
  <c r="L3" i="2"/>
  <c r="L4" i="2"/>
  <c r="L5" i="2"/>
  <c r="L6" i="2"/>
  <c r="L7" i="2"/>
  <c r="L8" i="2"/>
  <c r="L9" i="2"/>
  <c r="L10" i="2"/>
  <c r="L11" i="2"/>
  <c r="L12" i="2"/>
  <c r="L13" i="2"/>
  <c r="L14" i="2"/>
  <c r="L2" i="2"/>
  <c r="J7" i="2"/>
  <c r="J12" i="2"/>
  <c r="B17" i="8" l="1"/>
  <c r="B12" i="4"/>
  <c r="B20" i="8"/>
  <c r="B14" i="4"/>
  <c r="B18" i="8"/>
  <c r="B13" i="4"/>
  <c r="C5" i="8"/>
  <c r="B19" i="8"/>
  <c r="B21" i="8"/>
  <c r="B15" i="4"/>
  <c r="B25" i="8"/>
  <c r="E6" i="8"/>
</calcChain>
</file>

<file path=xl/sharedStrings.xml><?xml version="1.0" encoding="utf-8"?>
<sst xmlns="http://schemas.openxmlformats.org/spreadsheetml/2006/main" count="445" uniqueCount="282">
  <si>
    <t>Customer Data Governance &amp; GDPR Risk Assessment</t>
  </si>
  <si>
    <t>Data Quality, Privacy Risk &amp; Governance Analysis I NovaRetail Europe</t>
  </si>
  <si>
    <t>Company</t>
  </si>
  <si>
    <t>NovaRetail Europe</t>
  </si>
  <si>
    <t>Project Type</t>
  </si>
  <si>
    <t>Portfolio Case Study - Synthetic Data</t>
  </si>
  <si>
    <t>Objective</t>
  </si>
  <si>
    <t>Assess customer data quality, governance and potential GDPR - related risks</t>
  </si>
  <si>
    <t>Tools</t>
  </si>
  <si>
    <t>Microsoft Excel</t>
  </si>
  <si>
    <t>Business Problem</t>
  </si>
  <si>
    <t>Assess customer data quality, governance and GDPR - related risks across EU markets</t>
  </si>
  <si>
    <t>Project Scope</t>
  </si>
  <si>
    <t>Data quality, ownership, classification, retention and consent management</t>
  </si>
  <si>
    <t>Methodology</t>
  </si>
  <si>
    <t>Data quality assessment, privacy and consent analysis, data inventory review, risk assessment and executive reporting</t>
  </si>
  <si>
    <t>Key Findings</t>
  </si>
  <si>
    <t>8 data quality issues, 3 governance gaps and 3 High risks identified; no Critical risks detected</t>
  </si>
  <si>
    <t>Priority Actions</t>
  </si>
  <si>
    <t>Prioritize record updates, data ownership assignment, data classification, retention governance and consent documentation</t>
  </si>
  <si>
    <t>Deliverables</t>
  </si>
  <si>
    <t>Data quality controls, consent validation, data inventory, risk register and executive dashboard</t>
  </si>
  <si>
    <t>Customer_ID</t>
  </si>
  <si>
    <t>Full_Name</t>
  </si>
  <si>
    <t>Country</t>
  </si>
  <si>
    <t>Email</t>
  </si>
  <si>
    <t>Registration_Date</t>
  </si>
  <si>
    <t>Last_Update</t>
  </si>
  <si>
    <t>Data_Classification</t>
  </si>
  <si>
    <t>Data_Owner</t>
  </si>
  <si>
    <t>Customer_Status</t>
  </si>
  <si>
    <t>Duplicate_Check</t>
  </si>
  <si>
    <t>Email_Check</t>
  </si>
  <si>
    <t>Country:Check</t>
  </si>
  <si>
    <t>Classification_Check</t>
  </si>
  <si>
    <t>Owner_Check</t>
  </si>
  <si>
    <t>Timeliness_Check</t>
  </si>
  <si>
    <t>Status_Check</t>
  </si>
  <si>
    <t>C0001</t>
  </si>
  <si>
    <t>Anna Rossi</t>
  </si>
  <si>
    <t>Italy</t>
  </si>
  <si>
    <t>anna.rossi@example.com</t>
  </si>
  <si>
    <t>Confidential</t>
  </si>
  <si>
    <t>Marketing</t>
  </si>
  <si>
    <t>Active</t>
  </si>
  <si>
    <t>C0002</t>
  </si>
  <si>
    <t>Marco Bianchi</t>
  </si>
  <si>
    <t>marco.bianchi@example.com</t>
  </si>
  <si>
    <t>C0003</t>
  </si>
  <si>
    <t>Sofia Garcia</t>
  </si>
  <si>
    <t>Spain</t>
  </si>
  <si>
    <t>sofia.garcia@example.com</t>
  </si>
  <si>
    <t>Sales</t>
  </si>
  <si>
    <t>C0004</t>
  </si>
  <si>
    <t>Lucas Martin</t>
  </si>
  <si>
    <t>France</t>
  </si>
  <si>
    <t>lucas.martin@example.com</t>
  </si>
  <si>
    <t>Inactive</t>
  </si>
  <si>
    <t>C0005</t>
  </si>
  <si>
    <t>Emma Müller</t>
  </si>
  <si>
    <t>Germany</t>
  </si>
  <si>
    <t>emma.muller@example.com</t>
  </si>
  <si>
    <t>C0006</t>
  </si>
  <si>
    <t>Laura Romano</t>
  </si>
  <si>
    <t>laura.romano@example.com</t>
  </si>
  <si>
    <t>C0007</t>
  </si>
  <si>
    <t>Daniel López</t>
  </si>
  <si>
    <t>C0008</t>
  </si>
  <si>
    <t>Claire Dubois</t>
  </si>
  <si>
    <t>claire.dubois@example.com</t>
  </si>
  <si>
    <t>C0009</t>
  </si>
  <si>
    <t>Thomas Weber</t>
  </si>
  <si>
    <t>thomas.weber@example.com</t>
  </si>
  <si>
    <t>C0010</t>
  </si>
  <si>
    <t>Giulia Conti</t>
  </si>
  <si>
    <t>giulia.conti@example.com</t>
  </si>
  <si>
    <t>C0012</t>
  </si>
  <si>
    <t>Pablo Ruiz</t>
  </si>
  <si>
    <t>pablo.ruiz@example.com</t>
  </si>
  <si>
    <t>C0013</t>
  </si>
  <si>
    <t>Marie Laurent</t>
  </si>
  <si>
    <t>marie.laurent@example.com</t>
  </si>
  <si>
    <t>Rule_ID</t>
  </si>
  <si>
    <t>field</t>
  </si>
  <si>
    <t>Quality_Dimension</t>
  </si>
  <si>
    <t>Rule</t>
  </si>
  <si>
    <t>DQ001</t>
  </si>
  <si>
    <t>Uniqueness</t>
  </si>
  <si>
    <t>Customer_ID must be unique</t>
  </si>
  <si>
    <t>DQ002</t>
  </si>
  <si>
    <t>Completeness</t>
  </si>
  <si>
    <t>Customer_ID must not be blank</t>
  </si>
  <si>
    <t>DQ003</t>
  </si>
  <si>
    <t>Email must not be blank</t>
  </si>
  <si>
    <t>DQ004</t>
  </si>
  <si>
    <t>Consistency</t>
  </si>
  <si>
    <t>Country must use standardized values</t>
  </si>
  <si>
    <t>DQ005</t>
  </si>
  <si>
    <t>Timeliness</t>
  </si>
  <si>
    <t>Customer records must be periodically reviewed</t>
  </si>
  <si>
    <t>DQ006</t>
  </si>
  <si>
    <t>Data classification must not be blank</t>
  </si>
  <si>
    <t>DQ007</t>
  </si>
  <si>
    <t>Data_owner</t>
  </si>
  <si>
    <t>Data owner must be assigned</t>
  </si>
  <si>
    <t>DQ008</t>
  </si>
  <si>
    <t>Status must use approved values</t>
  </si>
  <si>
    <t>Data Quality Assessment</t>
  </si>
  <si>
    <t>KPI</t>
  </si>
  <si>
    <t>Result</t>
  </si>
  <si>
    <t>Total Records</t>
  </si>
  <si>
    <t>Duplicate Records</t>
  </si>
  <si>
    <t>Missing Emails</t>
  </si>
  <si>
    <t>Missing Classifications</t>
  </si>
  <si>
    <t>Missing Data Owners</t>
  </si>
  <si>
    <t>Outdated Records</t>
  </si>
  <si>
    <t>Data Quality Indicators</t>
  </si>
  <si>
    <t>Duplicate Rate</t>
  </si>
  <si>
    <t>Missing Email Rate</t>
  </si>
  <si>
    <t>Missing Owner Rate</t>
  </si>
  <si>
    <t>Outdated Record Rate</t>
  </si>
  <si>
    <t>Privacy &amp; Consent Indicators</t>
  </si>
  <si>
    <t>Total Consent Records</t>
  </si>
  <si>
    <t>Missing Consent Dates</t>
  </si>
  <si>
    <t>Missing Withdrawal Dates</t>
  </si>
  <si>
    <t>Legal Basis Issues</t>
  </si>
  <si>
    <t>Unmatched Customer IDs</t>
  </si>
  <si>
    <t>Data Governance Indicators</t>
  </si>
  <si>
    <t>Total Data Assets</t>
  </si>
  <si>
    <t>Missing Retention Policies</t>
  </si>
  <si>
    <t>Personal Data Assets to Review</t>
  </si>
  <si>
    <t>Risk Indicators</t>
  </si>
  <si>
    <t>Total Risk</t>
  </si>
  <si>
    <t>High Risks</t>
  </si>
  <si>
    <t>Medium Risks</t>
  </si>
  <si>
    <t>Low Risks</t>
  </si>
  <si>
    <t>Critical Risks</t>
  </si>
  <si>
    <t>Consent_ID</t>
  </si>
  <si>
    <t>Processing_Purpose</t>
  </si>
  <si>
    <t>Legal_Basis</t>
  </si>
  <si>
    <t>Consent_Status</t>
  </si>
  <si>
    <t>Consent_Date</t>
  </si>
  <si>
    <t>Withdrawal_Date</t>
  </si>
  <si>
    <t>Consent_Source</t>
  </si>
  <si>
    <t>Consent_Date_Check</t>
  </si>
  <si>
    <t>Withdrawal_Date_Check</t>
  </si>
  <si>
    <t>Legal_Basis_Check</t>
  </si>
  <si>
    <t>Customer_ID_Check</t>
  </si>
  <si>
    <t>CN001</t>
  </si>
  <si>
    <t>Consent</t>
  </si>
  <si>
    <t>Granted</t>
  </si>
  <si>
    <t>Webisite</t>
  </si>
  <si>
    <t>CN002</t>
  </si>
  <si>
    <t>Order Management</t>
  </si>
  <si>
    <t>Contract</t>
  </si>
  <si>
    <t>Not Applicable</t>
  </si>
  <si>
    <t>E-commerce</t>
  </si>
  <si>
    <t>CN003</t>
  </si>
  <si>
    <t>CN004</t>
  </si>
  <si>
    <t>Customer Support</t>
  </si>
  <si>
    <t>CRM</t>
  </si>
  <si>
    <t>CN005</t>
  </si>
  <si>
    <t>Mobile App</t>
  </si>
  <si>
    <t>CN006</t>
  </si>
  <si>
    <t>Withdrawn</t>
  </si>
  <si>
    <t>CN007</t>
  </si>
  <si>
    <t>CN008</t>
  </si>
  <si>
    <t>CN009</t>
  </si>
  <si>
    <t>CN010</t>
  </si>
  <si>
    <t>CN011</t>
  </si>
  <si>
    <t>CN012</t>
  </si>
  <si>
    <t>webisite</t>
  </si>
  <si>
    <t>Data_Asset_ID</t>
  </si>
  <si>
    <t>Data_Asset</t>
  </si>
  <si>
    <t>Data_Category</t>
  </si>
  <si>
    <t>System</t>
  </si>
  <si>
    <t>Classification</t>
  </si>
  <si>
    <t>Retention_Period</t>
  </si>
  <si>
    <t>Contains_Personal_Data</t>
  </si>
  <si>
    <t>Contains_Sensitive_Data</t>
  </si>
  <si>
    <t>Retention_Check</t>
  </si>
  <si>
    <t>Data_Owner_Check</t>
  </si>
  <si>
    <t>Personal_Data_Check</t>
  </si>
  <si>
    <t>DA001</t>
  </si>
  <si>
    <t>Customer Master Data</t>
  </si>
  <si>
    <t>Customer Data</t>
  </si>
  <si>
    <t>5 Years</t>
  </si>
  <si>
    <t>Yes</t>
  </si>
  <si>
    <t>No</t>
  </si>
  <si>
    <t>DA002</t>
  </si>
  <si>
    <t>Customer Consent Records</t>
  </si>
  <si>
    <t>Privacy Data</t>
  </si>
  <si>
    <t>Privacy</t>
  </si>
  <si>
    <t>Consent Management System</t>
  </si>
  <si>
    <t>DA003</t>
  </si>
  <si>
    <t>Online Orders</t>
  </si>
  <si>
    <t>Transaction Data</t>
  </si>
  <si>
    <t>E-commerce Platform</t>
  </si>
  <si>
    <t>10 Years</t>
  </si>
  <si>
    <t>DA004</t>
  </si>
  <si>
    <t>Customer Support Tickets</t>
  </si>
  <si>
    <t xml:space="preserve">Support Data </t>
  </si>
  <si>
    <t>Customer Service</t>
  </si>
  <si>
    <t>3 Years</t>
  </si>
  <si>
    <t>DA005</t>
  </si>
  <si>
    <t>Marketing Campaign Data</t>
  </si>
  <si>
    <t>Marketing Data</t>
  </si>
  <si>
    <t>Marketing Platform</t>
  </si>
  <si>
    <t>Internal</t>
  </si>
  <si>
    <t>2 Years</t>
  </si>
  <si>
    <t>DA006</t>
  </si>
  <si>
    <t>Employee Records</t>
  </si>
  <si>
    <t>HR Data</t>
  </si>
  <si>
    <t>HR</t>
  </si>
  <si>
    <t>HR Management System</t>
  </si>
  <si>
    <t>DA007</t>
  </si>
  <si>
    <t>Product Catalogue</t>
  </si>
  <si>
    <t>Product Data</t>
  </si>
  <si>
    <t>ERP</t>
  </si>
  <si>
    <t>2 years</t>
  </si>
  <si>
    <t>DA008</t>
  </si>
  <si>
    <t>Website Analytics</t>
  </si>
  <si>
    <t>Analytics Data</t>
  </si>
  <si>
    <t>Analytics Platform</t>
  </si>
  <si>
    <t>Risk_ID</t>
  </si>
  <si>
    <t>Risk_Category</t>
  </si>
  <si>
    <t>Related_Asset</t>
  </si>
  <si>
    <t>Finding</t>
  </si>
  <si>
    <t>Risk_Description</t>
  </si>
  <si>
    <t>Likelihood</t>
  </si>
  <si>
    <t>Impact</t>
  </si>
  <si>
    <t>Risk_Score</t>
  </si>
  <si>
    <t>Risk_Level</t>
  </si>
  <si>
    <t>Recommendation</t>
  </si>
  <si>
    <t>Risk_Owner</t>
  </si>
  <si>
    <t>Status</t>
  </si>
  <si>
    <t>R001</t>
  </si>
  <si>
    <t>Data Governance</t>
  </si>
  <si>
    <t>Missing Data classification</t>
  </si>
  <si>
    <t>Customer Support Tickets have no documented classification</t>
  </si>
  <si>
    <t>Define and coument an appropriate data classification</t>
  </si>
  <si>
    <t>Open</t>
  </si>
  <si>
    <t>R002</t>
  </si>
  <si>
    <t>Missing data owner</t>
  </si>
  <si>
    <t>Marketing Campaign Data have no assigned data owner</t>
  </si>
  <si>
    <t>Assign a responsible data owner</t>
  </si>
  <si>
    <t>R003</t>
  </si>
  <si>
    <t>Missing retention policy</t>
  </si>
  <si>
    <t>Website Analytics has no documented retention period</t>
  </si>
  <si>
    <t>Define and document a retention policy</t>
  </si>
  <si>
    <t>R004</t>
  </si>
  <si>
    <t>CONSENTS</t>
  </si>
  <si>
    <t>Missing consent date</t>
  </si>
  <si>
    <t>A granted consent record has no documented consent date</t>
  </si>
  <si>
    <t>Complete and validate consent evidence</t>
  </si>
  <si>
    <t>R005</t>
  </si>
  <si>
    <t>Missing withdrawal date</t>
  </si>
  <si>
    <t>A withdrawn consent record has no documented withdrawal date</t>
  </si>
  <si>
    <t>Complete and validate withdrawal evidence</t>
  </si>
  <si>
    <t>Executive Dashboard I NovaRetail Europe</t>
  </si>
  <si>
    <t>Total Customer Records</t>
  </si>
  <si>
    <t>Data Quality Issues</t>
  </si>
  <si>
    <t>Governance Issues</t>
  </si>
  <si>
    <t>Risk Level</t>
  </si>
  <si>
    <t>Number of Risks</t>
  </si>
  <si>
    <t>Low</t>
  </si>
  <si>
    <t>Medium</t>
  </si>
  <si>
    <t>High</t>
  </si>
  <si>
    <t>Critical</t>
  </si>
  <si>
    <t>Data Quality Issue</t>
  </si>
  <si>
    <t>Count</t>
  </si>
  <si>
    <t>Governance Issue</t>
  </si>
  <si>
    <t>Missing Retention Policy</t>
  </si>
  <si>
    <t>Missing Data Owner</t>
  </si>
  <si>
    <t>Missing Classification</t>
  </si>
  <si>
    <t xml:space="preserve">Data Quality </t>
  </si>
  <si>
    <t>8 data quality issues identified, with outdated records representing the most frequent issue.</t>
  </si>
  <si>
    <t>4 governance gaps identified across retention, data ownership and data classification.</t>
  </si>
  <si>
    <t>Risk Exposure</t>
  </si>
  <si>
    <t>3 High risks identified; no Critical risks detected.</t>
  </si>
  <si>
    <t>Priority Action</t>
  </si>
  <si>
    <t>Prioritize record updates, ownership assignment, data classification and retention governance.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</si>
</sst>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1"/>
      <color rgb="FF80808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theme="4" tint="0.59999389629810485"/>
      </left>
      <right/>
      <top style="medium">
        <color theme="4" tint="0.59999389629810485"/>
      </top>
      <bottom/>
      <diagonal/>
    </border>
    <border>
      <left/>
      <right style="medium">
        <color theme="4" tint="0.59999389629810485"/>
      </right>
      <top style="medium">
        <color theme="4" tint="0.59999389629810485"/>
      </top>
      <bottom/>
      <diagonal/>
    </border>
    <border>
      <left style="medium">
        <color theme="4" tint="0.59999389629810485"/>
      </left>
      <right/>
      <top/>
      <bottom/>
      <diagonal/>
    </border>
    <border>
      <left/>
      <right style="medium">
        <color theme="4" tint="0.59999389629810485"/>
      </right>
      <top/>
      <bottom/>
      <diagonal/>
    </border>
    <border>
      <left style="medium">
        <color theme="4" tint="0.59999389629810485"/>
      </left>
      <right/>
      <top/>
      <bottom style="medium">
        <color theme="4" tint="0.59999389629810485"/>
      </bottom>
      <diagonal/>
    </border>
    <border>
      <left/>
      <right style="medium">
        <color theme="4" tint="0.59999389629810485"/>
      </right>
      <top/>
      <bottom style="medium">
        <color theme="4" tint="0.59999389629810485"/>
      </bottom>
      <diagonal/>
    </border>
    <border>
      <left/>
      <right/>
      <top style="medium">
        <color theme="4" tint="0.59999389629810485"/>
      </top>
      <bottom/>
      <diagonal/>
    </border>
    <border>
      <left/>
      <right/>
      <top/>
      <bottom style="medium">
        <color theme="4" tint="0.59999389629810485"/>
      </bottom>
      <diagonal/>
    </border>
    <border>
      <left style="medium">
        <color theme="4" tint="0.59999389629810485"/>
      </left>
      <right/>
      <top style="medium">
        <color theme="4" tint="0.59999389629810485"/>
      </top>
      <bottom style="medium">
        <color theme="4" tint="0.59999389629810485"/>
      </bottom>
      <diagonal/>
    </border>
    <border>
      <left/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4" tint="0.59999389629810485"/>
      </right>
      <top/>
      <bottom/>
      <diagonal/>
    </border>
    <border>
      <left style="medium">
        <color theme="4" tint="0.59999389629810485"/>
      </left>
      <right style="medium">
        <color theme="4" tint="0.59999389629810485"/>
      </right>
      <top/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/>
      <diagonal/>
    </border>
    <border>
      <left/>
      <right/>
      <top style="medium">
        <color theme="4" tint="0.59999389629810485"/>
      </top>
      <bottom style="medium">
        <color theme="4" tint="0.5999938962981048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/>
    <xf numFmtId="14" fontId="0" fillId="0" borderId="0" xfId="0" applyNumberFormat="1"/>
    <xf numFmtId="10" fontId="0" fillId="0" borderId="0" xfId="0" applyNumberFormat="1"/>
    <xf numFmtId="0" fontId="0" fillId="2" borderId="5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0" xfId="0" applyFill="1" applyBorder="1"/>
    <xf numFmtId="0" fontId="4" fillId="2" borderId="9" xfId="0" applyFont="1" applyFill="1" applyBorder="1" applyAlignment="1">
      <alignment horizontal="center"/>
    </xf>
    <xf numFmtId="0" fontId="4" fillId="2" borderId="11" xfId="0" applyFont="1" applyFill="1" applyBorder="1"/>
    <xf numFmtId="0" fontId="6" fillId="2" borderId="1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4" fillId="2" borderId="14" xfId="0" applyFont="1" applyFill="1" applyBorder="1" applyAlignment="1">
      <alignment horizontal="center"/>
    </xf>
    <xf numFmtId="0" fontId="0" fillId="3" borderId="0" xfId="0" applyFill="1" applyBorder="1"/>
    <xf numFmtId="0" fontId="0" fillId="2" borderId="14" xfId="0" applyFill="1" applyBorder="1"/>
    <xf numFmtId="0" fontId="4" fillId="2" borderId="14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0" fontId="4" fillId="3" borderId="0" xfId="0" applyFont="1" applyFill="1" applyBorder="1"/>
    <xf numFmtId="0" fontId="0" fillId="2" borderId="3" xfId="0" applyFill="1" applyBorder="1" applyAlignment="1"/>
    <xf numFmtId="0" fontId="0" fillId="2" borderId="0" xfId="0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2" borderId="3" xfId="0" applyFont="1" applyFill="1" applyBorder="1" applyAlignment="1"/>
    <xf numFmtId="0" fontId="0" fillId="2" borderId="4" xfId="0" applyFill="1" applyBorder="1" applyAlignment="1"/>
    <xf numFmtId="0" fontId="4" fillId="2" borderId="5" xfId="0" applyFont="1" applyFill="1" applyBorder="1" applyAlignment="1"/>
    <xf numFmtId="0" fontId="0" fillId="2" borderId="5" xfId="0" applyFill="1" applyBorder="1" applyAlignment="1"/>
    <xf numFmtId="0" fontId="0" fillId="2" borderId="8" xfId="0" applyFill="1" applyBorder="1" applyAlignment="1"/>
    <xf numFmtId="0" fontId="0" fillId="2" borderId="6" xfId="0" applyFill="1" applyBorder="1" applyAlignment="1"/>
    <xf numFmtId="0" fontId="0" fillId="3" borderId="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xr:uid="{00000000-000B-0000-0000-000008000000}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Distribution</a:t>
            </a:r>
          </a:p>
        </c:rich>
      </c:tx>
      <c:layout>
        <c:manualLayout>
          <c:xMode val="edge"/>
          <c:yMode val="edge"/>
          <c:x val="0.36283333333333334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Number of Risks</c:v>
                </c:pt>
              </c:strCache>
            </c:strRef>
          </c:tx>
          <c:spPr>
            <a:solidFill>
              <a:srgbClr val="DDEBF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DASHBOARD!$A$10:$A$13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F-45C5-AE33-20A8FC7AA7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6200200"/>
        <c:axId val="1696202248"/>
      </c:barChart>
      <c:catAx>
        <c:axId val="169620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02248"/>
        <c:crosses val="autoZero"/>
        <c:auto val="1"/>
        <c:lblAlgn val="ctr"/>
        <c:lblOffset val="100"/>
        <c:noMultiLvlLbl val="0"/>
      </c:catAx>
      <c:valAx>
        <c:axId val="169620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00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Quality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DASHBOARD!$A$17:$A$21</c:f>
              <c:strCache>
                <c:ptCount val="5"/>
                <c:pt idx="0">
                  <c:v>Duplicate Records</c:v>
                </c:pt>
                <c:pt idx="1">
                  <c:v>Missing Emails</c:v>
                </c:pt>
                <c:pt idx="2">
                  <c:v>Missing Classifications</c:v>
                </c:pt>
                <c:pt idx="3">
                  <c:v>Missing Data Owners</c:v>
                </c:pt>
                <c:pt idx="4">
                  <c:v>Outdated Records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9-4BD5-80C0-A8F5B98DC7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15547144"/>
        <c:axId val="1715561480"/>
      </c:barChart>
      <c:catAx>
        <c:axId val="1715547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61480"/>
        <c:crosses val="autoZero"/>
        <c:auto val="1"/>
        <c:lblAlgn val="ctr"/>
        <c:lblOffset val="100"/>
        <c:noMultiLvlLbl val="0"/>
      </c:catAx>
      <c:valAx>
        <c:axId val="171556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47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Governance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DASHBOARD!$A$25:$A$27</c:f>
              <c:strCache>
                <c:ptCount val="3"/>
                <c:pt idx="0">
                  <c:v>Missing Retention Policy</c:v>
                </c:pt>
                <c:pt idx="1">
                  <c:v>Missing Data Owner</c:v>
                </c:pt>
                <c:pt idx="2">
                  <c:v>Missing Classification</c:v>
                </c:pt>
              </c:strCache>
            </c:strRef>
          </c:cat>
          <c:val>
            <c:numRef>
              <c:f>DASHBOARD!$B$25:$B$27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8-4003-B3B5-E7F351AC41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30850312"/>
        <c:axId val="1803429896"/>
      </c:barChart>
      <c:catAx>
        <c:axId val="1730850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429896"/>
        <c:crosses val="autoZero"/>
        <c:auto val="1"/>
        <c:lblAlgn val="ctr"/>
        <c:lblOffset val="100"/>
        <c:noMultiLvlLbl val="0"/>
      </c:catAx>
      <c:valAx>
        <c:axId val="180342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5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152400</xdr:rowOff>
    </xdr:from>
    <xdr:to>
      <xdr:col>18</xdr:col>
      <xdr:colOff>0</xdr:colOff>
      <xdr:row>17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3C2E1C4-2ABF-BF07-B295-6D885FDD4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18</xdr:row>
      <xdr:rowOff>38100</xdr:rowOff>
    </xdr:from>
    <xdr:to>
      <xdr:col>17</xdr:col>
      <xdr:colOff>495300</xdr:colOff>
      <xdr:row>32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32A1BF3-2F78-CB96-9FA9-DF74D6467F7C}"/>
            </a:ext>
            <a:ext uri="{147F2762-F138-4A5C-976F-8EAC2B608ADB}">
              <a16:predDERef xmlns:a16="http://schemas.microsoft.com/office/drawing/2014/main" pred="{63C2E1C4-2ABF-BF07-B295-6D885FDD4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35</xdr:row>
      <xdr:rowOff>133350</xdr:rowOff>
    </xdr:from>
    <xdr:to>
      <xdr:col>18</xdr:col>
      <xdr:colOff>0</xdr:colOff>
      <xdr:row>50</xdr:row>
      <xdr:rowOff>19050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8B24BB0-6A8B-04F9-C4DA-8C9FD271E8E3}"/>
            </a:ext>
            <a:ext uri="{147F2762-F138-4A5C-976F-8EAC2B608ADB}">
              <a16:predDERef xmlns:a16="http://schemas.microsoft.com/office/drawing/2014/main" pred="{832A1BF3-2F78-CB96-9FA9-DF74D6467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homas.weber@example.com" TargetMode="External"/><Relationship Id="rId3" Type="http://schemas.openxmlformats.org/officeDocument/2006/relationships/hyperlink" Target="mailto:sofia.garcia@example.com" TargetMode="External"/><Relationship Id="rId7" Type="http://schemas.openxmlformats.org/officeDocument/2006/relationships/hyperlink" Target="mailto:claire.dubois@example.com" TargetMode="External"/><Relationship Id="rId12" Type="http://schemas.openxmlformats.org/officeDocument/2006/relationships/hyperlink" Target="mailto:marie.laurent@example.com" TargetMode="External"/><Relationship Id="rId2" Type="http://schemas.openxmlformats.org/officeDocument/2006/relationships/hyperlink" Target="mailto:marco.bianchi@example.com" TargetMode="External"/><Relationship Id="rId1" Type="http://schemas.openxmlformats.org/officeDocument/2006/relationships/hyperlink" Target="mailto:anna.rossi@example.com" TargetMode="External"/><Relationship Id="rId6" Type="http://schemas.openxmlformats.org/officeDocument/2006/relationships/hyperlink" Target="mailto:laura.romano@example.com" TargetMode="External"/><Relationship Id="rId11" Type="http://schemas.openxmlformats.org/officeDocument/2006/relationships/hyperlink" Target="mailto:pablo.ruiz@example.com" TargetMode="External"/><Relationship Id="rId5" Type="http://schemas.openxmlformats.org/officeDocument/2006/relationships/hyperlink" Target="mailto:emma.muller@example.com" TargetMode="External"/><Relationship Id="rId10" Type="http://schemas.openxmlformats.org/officeDocument/2006/relationships/hyperlink" Target="mailto:laura.romano@example.com" TargetMode="External"/><Relationship Id="rId4" Type="http://schemas.openxmlformats.org/officeDocument/2006/relationships/hyperlink" Target="mailto:lucas.martin@example.com" TargetMode="External"/><Relationship Id="rId9" Type="http://schemas.openxmlformats.org/officeDocument/2006/relationships/hyperlink" Target="mailto:giulia.conti@example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3" workbookViewId="0">
      <selection activeCell="B10" sqref="B10"/>
    </sheetView>
  </sheetViews>
  <sheetFormatPr defaultRowHeight="15"/>
  <cols>
    <col min="1" max="1" width="46.140625" customWidth="1"/>
    <col min="2" max="2" width="67.140625" customWidth="1"/>
  </cols>
  <sheetData>
    <row r="1" spans="1:6" ht="23.25">
      <c r="A1" s="50" t="s">
        <v>0</v>
      </c>
      <c r="B1" s="50"/>
    </row>
    <row r="2" spans="1:6">
      <c r="A2" s="51" t="s">
        <v>1</v>
      </c>
      <c r="B2" s="36"/>
    </row>
    <row r="3" spans="1:6">
      <c r="A3" s="18" t="s">
        <v>2</v>
      </c>
      <c r="B3" s="27" t="s">
        <v>3</v>
      </c>
      <c r="C3" s="27"/>
      <c r="D3" s="27"/>
      <c r="E3" s="27"/>
      <c r="F3" s="27"/>
    </row>
    <row r="4" spans="1:6">
      <c r="A4" s="19" t="s">
        <v>4</v>
      </c>
      <c r="B4" s="27" t="s">
        <v>5</v>
      </c>
      <c r="C4" s="27"/>
      <c r="D4" s="27"/>
      <c r="E4" s="27"/>
      <c r="F4" s="27"/>
    </row>
    <row r="5" spans="1:6">
      <c r="A5" s="19" t="s">
        <v>6</v>
      </c>
      <c r="B5" s="27" t="s">
        <v>7</v>
      </c>
      <c r="C5" s="27"/>
      <c r="D5" s="27"/>
      <c r="E5" s="27"/>
      <c r="F5" s="27"/>
    </row>
    <row r="6" spans="1:6" ht="15.75" customHeight="1">
      <c r="A6" s="20" t="s">
        <v>8</v>
      </c>
      <c r="B6" s="27" t="s">
        <v>9</v>
      </c>
      <c r="C6" s="27"/>
      <c r="D6" s="27"/>
      <c r="E6" s="27"/>
      <c r="F6" s="27"/>
    </row>
    <row r="7" spans="1:6">
      <c r="B7" s="27"/>
      <c r="C7" s="27"/>
      <c r="D7" s="27"/>
      <c r="E7" s="27"/>
      <c r="F7" s="27"/>
    </row>
    <row r="8" spans="1:6" ht="30" customHeight="1">
      <c r="A8" s="10" t="s">
        <v>10</v>
      </c>
      <c r="B8" s="27" t="s">
        <v>11</v>
      </c>
      <c r="C8" s="27"/>
      <c r="D8" s="27"/>
      <c r="E8" s="27"/>
      <c r="F8" s="27"/>
    </row>
    <row r="9" spans="1:6">
      <c r="A9" s="23"/>
      <c r="B9" s="27"/>
      <c r="C9" s="27"/>
      <c r="D9" s="27"/>
      <c r="E9" s="27"/>
      <c r="F9" s="27"/>
    </row>
    <row r="10" spans="1:6" ht="17.25" customHeight="1">
      <c r="A10" s="10" t="s">
        <v>12</v>
      </c>
      <c r="B10" s="27" t="s">
        <v>13</v>
      </c>
      <c r="C10" s="27"/>
      <c r="D10" s="27"/>
      <c r="F10" s="27"/>
    </row>
    <row r="11" spans="1:6">
      <c r="A11" s="23"/>
      <c r="B11" s="27"/>
      <c r="C11" s="27"/>
      <c r="D11" s="27"/>
      <c r="E11" s="27"/>
      <c r="F11" s="27"/>
    </row>
    <row r="12" spans="1:6" ht="28.5" customHeight="1">
      <c r="A12" s="10" t="s">
        <v>14</v>
      </c>
      <c r="B12" s="52" t="s">
        <v>15</v>
      </c>
      <c r="C12" s="52"/>
      <c r="D12" s="52"/>
      <c r="E12" s="52"/>
      <c r="F12" s="27"/>
    </row>
    <row r="13" spans="1:6">
      <c r="A13" s="23"/>
      <c r="B13" s="27"/>
      <c r="C13" s="27"/>
      <c r="D13" s="27"/>
      <c r="E13" s="27"/>
      <c r="F13" s="27"/>
    </row>
    <row r="14" spans="1:6" ht="27" customHeight="1">
      <c r="A14" s="10" t="s">
        <v>16</v>
      </c>
      <c r="B14" s="52" t="s">
        <v>17</v>
      </c>
      <c r="C14" s="52"/>
      <c r="D14" s="27"/>
      <c r="E14" s="27"/>
      <c r="F14" s="27"/>
    </row>
    <row r="15" spans="1:6">
      <c r="A15" s="23"/>
      <c r="B15" s="27"/>
      <c r="C15" s="27"/>
      <c r="D15" s="27"/>
      <c r="E15" s="27"/>
      <c r="F15" s="27"/>
    </row>
    <row r="16" spans="1:6" ht="29.25" customHeight="1">
      <c r="A16" s="10" t="s">
        <v>18</v>
      </c>
      <c r="B16" s="52" t="s">
        <v>19</v>
      </c>
      <c r="C16" s="52"/>
      <c r="D16" s="52"/>
      <c r="E16" s="52"/>
      <c r="F16" s="52"/>
    </row>
    <row r="17" spans="1:6">
      <c r="A17" s="23"/>
      <c r="B17" s="27"/>
      <c r="C17" s="27"/>
      <c r="D17" s="27"/>
      <c r="E17" s="27"/>
      <c r="F17" s="27"/>
    </row>
    <row r="18" spans="1:6" ht="30" customHeight="1">
      <c r="A18" s="10" t="s">
        <v>20</v>
      </c>
      <c r="B18" s="52" t="s">
        <v>21</v>
      </c>
      <c r="C18" s="52"/>
      <c r="D18" s="27"/>
      <c r="E18" s="27"/>
      <c r="F18" s="27"/>
    </row>
  </sheetData>
  <mergeCells count="6">
    <mergeCell ref="B18:C18"/>
    <mergeCell ref="A1:B1"/>
    <mergeCell ref="A2:B2"/>
    <mergeCell ref="B12:E12"/>
    <mergeCell ref="B14:C14"/>
    <mergeCell ref="B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1F65-CF0F-4904-A467-5857226A8044}">
  <dimension ref="A1:P14"/>
  <sheetViews>
    <sheetView topLeftCell="I1" workbookViewId="0">
      <selection activeCell="S14" sqref="S14"/>
    </sheetView>
  </sheetViews>
  <sheetFormatPr defaultRowHeight="15"/>
  <cols>
    <col min="1" max="1" width="11.7109375" customWidth="1"/>
    <col min="2" max="2" width="13.5703125" customWidth="1"/>
    <col min="4" max="4" width="25.85546875" customWidth="1"/>
    <col min="5" max="5" width="16.42578125" customWidth="1"/>
    <col min="6" max="6" width="11.42578125" customWidth="1"/>
    <col min="7" max="7" width="18.42578125" customWidth="1"/>
    <col min="8" max="8" width="13" customWidth="1"/>
    <col min="9" max="9" width="15.85546875" customWidth="1"/>
    <col min="10" max="10" width="18.140625" customWidth="1"/>
    <col min="11" max="11" width="18.5703125" customWidth="1"/>
    <col min="12" max="12" width="18.42578125" customWidth="1"/>
    <col min="13" max="15" width="18.28515625" customWidth="1"/>
    <col min="16" max="16" width="18.5703125" customWidth="1"/>
  </cols>
  <sheetData>
    <row r="1" spans="1:1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38</v>
      </c>
      <c r="B2" t="s">
        <v>39</v>
      </c>
      <c r="C2" t="s">
        <v>40</v>
      </c>
      <c r="D2" s="1" t="s">
        <v>41</v>
      </c>
      <c r="E2" s="2">
        <v>44997</v>
      </c>
      <c r="F2" s="2">
        <v>46218</v>
      </c>
      <c r="G2" t="s">
        <v>42</v>
      </c>
      <c r="H2" t="s">
        <v>43</v>
      </c>
      <c r="I2" t="s">
        <v>44</v>
      </c>
      <c r="J2" t="str">
        <f>IF(COUNTIF($A$2:$A$14,A2)&gt;1,"Duplicate","OK")</f>
        <v>OK</v>
      </c>
      <c r="K2" t="str">
        <f>IF(D2="","missing","OK")</f>
        <v>OK</v>
      </c>
      <c r="L2" t="str">
        <f>IF(OR(C2="Italy",C2="Spain",C2="France",C2="Germany"),"OK","Review")</f>
        <v>OK</v>
      </c>
      <c r="M2" t="str">
        <f>IF(G2="","Missing","OK")</f>
        <v>OK</v>
      </c>
      <c r="N2" t="str">
        <f>IF(H2="","Missing","OK")</f>
        <v>OK</v>
      </c>
      <c r="O2" t="str">
        <f>IF(F2&lt;DATE(2025,1,1),"Review","OK")</f>
        <v>OK</v>
      </c>
      <c r="P2" t="str">
        <f>IF(OR(I2="Active",I2="Inactive"),"OK","Review")</f>
        <v>OK</v>
      </c>
    </row>
    <row r="3" spans="1:16">
      <c r="A3" t="s">
        <v>45</v>
      </c>
      <c r="B3" t="s">
        <v>46</v>
      </c>
      <c r="C3" t="s">
        <v>40</v>
      </c>
      <c r="D3" s="1" t="s">
        <v>47</v>
      </c>
      <c r="E3" s="2">
        <v>44812</v>
      </c>
      <c r="F3" s="2">
        <v>46032</v>
      </c>
      <c r="G3" t="s">
        <v>42</v>
      </c>
      <c r="H3" t="s">
        <v>43</v>
      </c>
      <c r="I3" t="s">
        <v>44</v>
      </c>
      <c r="J3" t="str">
        <f t="shared" ref="J3:J6" si="0">IF(COUNTIF($A$2:$A$14,A3)&gt;1,"Duplicate","OK")</f>
        <v>OK</v>
      </c>
      <c r="K3" t="str">
        <f>IF(D3="","missing","OK")</f>
        <v>OK</v>
      </c>
      <c r="L3" t="str">
        <f t="shared" ref="L3:L14" si="1">IF(OR(C3="Italy",C3="Spain",C3="France",C3="Germany"),"OK","Review")</f>
        <v>OK</v>
      </c>
      <c r="M3" t="str">
        <f t="shared" ref="M3:M9" si="2">IF(G3="","Missing","OK")</f>
        <v>OK</v>
      </c>
      <c r="N3" t="str">
        <f t="shared" ref="N3:N10" si="3">IF(H3="","Missing","OK")</f>
        <v>OK</v>
      </c>
      <c r="O3" t="str">
        <f t="shared" ref="O3:O4" si="4">IF(F3&lt;DATE(2025,1,1),"Review","OK")</f>
        <v>OK</v>
      </c>
      <c r="P3" t="str">
        <f t="shared" ref="P3:P14" si="5">IF(OR(I3="Active",I3="Inactive"),"OK","Review")</f>
        <v>OK</v>
      </c>
    </row>
    <row r="4" spans="1:16">
      <c r="A4" t="s">
        <v>48</v>
      </c>
      <c r="B4" t="s">
        <v>49</v>
      </c>
      <c r="C4" t="s">
        <v>50</v>
      </c>
      <c r="D4" s="1" t="s">
        <v>51</v>
      </c>
      <c r="E4" s="2">
        <v>45433</v>
      </c>
      <c r="F4" s="2">
        <v>46176</v>
      </c>
      <c r="G4" t="s">
        <v>42</v>
      </c>
      <c r="H4" t="s">
        <v>52</v>
      </c>
      <c r="I4" t="s">
        <v>44</v>
      </c>
      <c r="J4" t="str">
        <f t="shared" si="0"/>
        <v>OK</v>
      </c>
      <c r="K4" t="str">
        <f t="shared" ref="K4:K7" si="6">IF(D4="","missing","OK")</f>
        <v>OK</v>
      </c>
      <c r="L4" t="str">
        <f t="shared" si="1"/>
        <v>OK</v>
      </c>
      <c r="M4" t="str">
        <f t="shared" si="2"/>
        <v>OK</v>
      </c>
      <c r="N4" t="str">
        <f t="shared" si="3"/>
        <v>OK</v>
      </c>
      <c r="O4" t="str">
        <f t="shared" si="4"/>
        <v>OK</v>
      </c>
      <c r="P4" t="str">
        <f t="shared" si="5"/>
        <v>OK</v>
      </c>
    </row>
    <row r="5" spans="1:16">
      <c r="A5" t="s">
        <v>53</v>
      </c>
      <c r="B5" t="s">
        <v>54</v>
      </c>
      <c r="C5" t="s">
        <v>55</v>
      </c>
      <c r="D5" s="1" t="s">
        <v>56</v>
      </c>
      <c r="E5" s="2">
        <v>44514</v>
      </c>
      <c r="F5" s="2">
        <v>45342</v>
      </c>
      <c r="G5" t="s">
        <v>42</v>
      </c>
      <c r="H5" t="s">
        <v>43</v>
      </c>
      <c r="I5" t="s">
        <v>57</v>
      </c>
      <c r="J5" t="str">
        <f t="shared" si="0"/>
        <v>OK</v>
      </c>
      <c r="K5" t="str">
        <f t="shared" si="6"/>
        <v>OK</v>
      </c>
      <c r="L5" t="str">
        <f t="shared" si="1"/>
        <v>OK</v>
      </c>
      <c r="M5" t="str">
        <f t="shared" si="2"/>
        <v>OK</v>
      </c>
      <c r="N5" t="str">
        <f t="shared" si="3"/>
        <v>OK</v>
      </c>
      <c r="O5" t="str">
        <f t="shared" ref="O3:O14" si="7">IF(F5&lt;DATE(2025,1,1),"Review","ok")</f>
        <v>Review</v>
      </c>
      <c r="P5" t="str">
        <f t="shared" si="5"/>
        <v>OK</v>
      </c>
    </row>
    <row r="6" spans="1:16">
      <c r="A6" t="s">
        <v>58</v>
      </c>
      <c r="B6" t="s">
        <v>59</v>
      </c>
      <c r="C6" t="s">
        <v>60</v>
      </c>
      <c r="D6" s="1" t="s">
        <v>61</v>
      </c>
      <c r="E6" s="2">
        <v>45690</v>
      </c>
      <c r="F6" s="2">
        <v>46246</v>
      </c>
      <c r="G6" t="s">
        <v>42</v>
      </c>
      <c r="H6" t="s">
        <v>52</v>
      </c>
      <c r="I6" t="s">
        <v>44</v>
      </c>
      <c r="J6" t="str">
        <f t="shared" si="0"/>
        <v>OK</v>
      </c>
      <c r="K6" t="str">
        <f>IF(D6="","missing","OK")</f>
        <v>OK</v>
      </c>
      <c r="L6" t="str">
        <f t="shared" si="1"/>
        <v>OK</v>
      </c>
      <c r="M6" t="str">
        <f t="shared" si="2"/>
        <v>OK</v>
      </c>
      <c r="N6" t="str">
        <f t="shared" si="3"/>
        <v>OK</v>
      </c>
      <c r="O6" t="str">
        <f>IF(F6&lt;DATE(2025,1,1),"Review","OK")</f>
        <v>OK</v>
      </c>
      <c r="P6" t="str">
        <f t="shared" si="5"/>
        <v>OK</v>
      </c>
    </row>
    <row r="7" spans="1:16">
      <c r="A7" t="s">
        <v>62</v>
      </c>
      <c r="B7" t="s">
        <v>63</v>
      </c>
      <c r="C7" t="s">
        <v>40</v>
      </c>
      <c r="D7" s="1" t="s">
        <v>64</v>
      </c>
      <c r="E7" s="2">
        <v>45087</v>
      </c>
      <c r="F7" s="2">
        <v>46221</v>
      </c>
      <c r="G7" t="s">
        <v>42</v>
      </c>
      <c r="H7" t="s">
        <v>43</v>
      </c>
      <c r="I7" t="s">
        <v>44</v>
      </c>
      <c r="J7" t="str">
        <f t="shared" ref="J3:J14" si="8">IF(COUNTIF($A$2:$A$14,A7)&gt;1,"Duplicate","ok")</f>
        <v>Duplicate</v>
      </c>
      <c r="K7" t="str">
        <f>IF(D7="","missing","OK")</f>
        <v>OK</v>
      </c>
      <c r="L7" t="str">
        <f t="shared" si="1"/>
        <v>OK</v>
      </c>
      <c r="M7" t="str">
        <f t="shared" si="2"/>
        <v>OK</v>
      </c>
      <c r="N7" t="str">
        <f t="shared" si="3"/>
        <v>OK</v>
      </c>
      <c r="O7" t="str">
        <f t="shared" ref="O7:O10" si="9">IF(F7&lt;DATE(2025,1,1),"Review","OK")</f>
        <v>OK</v>
      </c>
      <c r="P7" t="str">
        <f t="shared" si="5"/>
        <v>OK</v>
      </c>
    </row>
    <row r="8" spans="1:16">
      <c r="A8" t="s">
        <v>65</v>
      </c>
      <c r="B8" t="s">
        <v>66</v>
      </c>
      <c r="C8" t="s">
        <v>50</v>
      </c>
      <c r="E8" s="2">
        <v>45387</v>
      </c>
      <c r="F8" s="2">
        <v>46254</v>
      </c>
      <c r="G8" t="s">
        <v>42</v>
      </c>
      <c r="H8" t="s">
        <v>52</v>
      </c>
      <c r="I8" t="s">
        <v>44</v>
      </c>
      <c r="J8" t="str">
        <f>IF(COUNTIF($A$2:$A$14,A8)&gt;1,"Duplicate","OK")</f>
        <v>OK</v>
      </c>
      <c r="K8" t="str">
        <f>IF(D8="","Missing","ok")</f>
        <v>Missing</v>
      </c>
      <c r="L8" t="str">
        <f t="shared" si="1"/>
        <v>OK</v>
      </c>
      <c r="M8" t="str">
        <f t="shared" si="2"/>
        <v>OK</v>
      </c>
      <c r="N8" t="str">
        <f t="shared" si="3"/>
        <v>OK</v>
      </c>
      <c r="O8" t="str">
        <f t="shared" si="9"/>
        <v>OK</v>
      </c>
      <c r="P8" t="str">
        <f t="shared" si="5"/>
        <v>OK</v>
      </c>
    </row>
    <row r="9" spans="1:16">
      <c r="A9" t="s">
        <v>67</v>
      </c>
      <c r="B9" t="s">
        <v>68</v>
      </c>
      <c r="C9" t="s">
        <v>55</v>
      </c>
      <c r="D9" s="1" t="s">
        <v>69</v>
      </c>
      <c r="E9" s="2">
        <v>44578</v>
      </c>
      <c r="F9" s="2">
        <v>46153</v>
      </c>
      <c r="G9" t="s">
        <v>42</v>
      </c>
      <c r="H9" t="s">
        <v>43</v>
      </c>
      <c r="I9" t="s">
        <v>44</v>
      </c>
      <c r="J9" t="str">
        <f t="shared" ref="J9:J11" si="10">IF(COUNTIF($A$2:$A$14,A9)&gt;1,"Duplicate","OK")</f>
        <v>OK</v>
      </c>
      <c r="K9" t="str">
        <f>IF(D9="","missing","OK")</f>
        <v>OK</v>
      </c>
      <c r="L9" t="str">
        <f t="shared" si="1"/>
        <v>OK</v>
      </c>
      <c r="M9" t="str">
        <f t="shared" si="2"/>
        <v>OK</v>
      </c>
      <c r="N9" t="str">
        <f t="shared" si="3"/>
        <v>OK</v>
      </c>
      <c r="O9" t="str">
        <f t="shared" si="9"/>
        <v>OK</v>
      </c>
      <c r="P9" t="str">
        <f t="shared" si="5"/>
        <v>OK</v>
      </c>
    </row>
    <row r="10" spans="1:16">
      <c r="A10" t="s">
        <v>70</v>
      </c>
      <c r="B10" t="s">
        <v>71</v>
      </c>
      <c r="C10" t="s">
        <v>60</v>
      </c>
      <c r="D10" s="1" t="s">
        <v>72</v>
      </c>
      <c r="E10" s="2">
        <v>45160</v>
      </c>
      <c r="F10" s="2">
        <v>46212</v>
      </c>
      <c r="H10" t="s">
        <v>52</v>
      </c>
      <c r="I10" t="s">
        <v>44</v>
      </c>
      <c r="J10" t="str">
        <f t="shared" si="10"/>
        <v>OK</v>
      </c>
      <c r="K10" t="str">
        <f t="shared" ref="K10:K14" si="11">IF(D10="","missing","OK")</f>
        <v>OK</v>
      </c>
      <c r="L10" t="str">
        <f t="shared" si="1"/>
        <v>OK</v>
      </c>
      <c r="M10" t="str">
        <f t="shared" ref="M3:M14" si="12">IF(G10="","Missing","ok")</f>
        <v>Missing</v>
      </c>
      <c r="N10" t="str">
        <f t="shared" si="3"/>
        <v>OK</v>
      </c>
      <c r="O10" t="str">
        <f t="shared" si="9"/>
        <v>OK</v>
      </c>
      <c r="P10" t="str">
        <f t="shared" si="5"/>
        <v>OK</v>
      </c>
    </row>
    <row r="11" spans="1:16">
      <c r="A11" t="s">
        <v>73</v>
      </c>
      <c r="B11" t="s">
        <v>74</v>
      </c>
      <c r="C11" t="s">
        <v>40</v>
      </c>
      <c r="D11" s="1" t="s">
        <v>75</v>
      </c>
      <c r="E11" s="2">
        <v>44499</v>
      </c>
      <c r="F11" s="2">
        <v>45000</v>
      </c>
      <c r="G11" t="s">
        <v>42</v>
      </c>
      <c r="I11" t="s">
        <v>44</v>
      </c>
      <c r="J11" t="str">
        <f t="shared" si="10"/>
        <v>OK</v>
      </c>
      <c r="K11" t="str">
        <f t="shared" si="11"/>
        <v>OK</v>
      </c>
      <c r="L11" t="str">
        <f t="shared" si="1"/>
        <v>OK</v>
      </c>
      <c r="M11" t="str">
        <f>IF(G11="","Missing","OK")</f>
        <v>OK</v>
      </c>
      <c r="N11" t="str">
        <f t="shared" ref="N3:N14" si="13">IF(H11="","Missing","ok")</f>
        <v>Missing</v>
      </c>
      <c r="O11" t="str">
        <f t="shared" si="7"/>
        <v>Review</v>
      </c>
      <c r="P11" t="str">
        <f t="shared" si="5"/>
        <v>OK</v>
      </c>
    </row>
    <row r="12" spans="1:16">
      <c r="A12" t="s">
        <v>62</v>
      </c>
      <c r="B12" t="s">
        <v>63</v>
      </c>
      <c r="C12" t="s">
        <v>40</v>
      </c>
      <c r="D12" s="1" t="s">
        <v>64</v>
      </c>
      <c r="E12" s="2">
        <v>45087</v>
      </c>
      <c r="F12" s="2">
        <v>46221</v>
      </c>
      <c r="G12" t="s">
        <v>42</v>
      </c>
      <c r="H12" t="s">
        <v>43</v>
      </c>
      <c r="I12" t="s">
        <v>44</v>
      </c>
      <c r="J12" t="str">
        <f t="shared" si="8"/>
        <v>Duplicate</v>
      </c>
      <c r="K12" t="str">
        <f t="shared" si="11"/>
        <v>OK</v>
      </c>
      <c r="L12" t="str">
        <f t="shared" si="1"/>
        <v>OK</v>
      </c>
      <c r="M12" t="str">
        <f t="shared" ref="M12:M14" si="14">IF(G12="","Missing","OK")</f>
        <v>OK</v>
      </c>
      <c r="N12" t="str">
        <f>IF(H12="","Missing","OK")</f>
        <v>OK</v>
      </c>
      <c r="O12" t="str">
        <f>IF(F12&lt;DATE(2025,1,1),"Review","OK")</f>
        <v>OK</v>
      </c>
      <c r="P12" t="str">
        <f t="shared" si="5"/>
        <v>OK</v>
      </c>
    </row>
    <row r="13" spans="1:16">
      <c r="A13" t="s">
        <v>76</v>
      </c>
      <c r="B13" t="s">
        <v>77</v>
      </c>
      <c r="C13" t="s">
        <v>50</v>
      </c>
      <c r="D13" s="1" t="s">
        <v>78</v>
      </c>
      <c r="E13" s="2">
        <v>45637</v>
      </c>
      <c r="F13" s="2">
        <v>46203</v>
      </c>
      <c r="G13" t="s">
        <v>42</v>
      </c>
      <c r="H13" t="s">
        <v>52</v>
      </c>
      <c r="I13" t="s">
        <v>44</v>
      </c>
      <c r="J13" t="str">
        <f>IF(COUNTIF($A$2:$A$14,A13)&gt;1,"Duplicate","OK")</f>
        <v>OK</v>
      </c>
      <c r="K13" t="str">
        <f t="shared" si="11"/>
        <v>OK</v>
      </c>
      <c r="L13" t="str">
        <f t="shared" si="1"/>
        <v>OK</v>
      </c>
      <c r="M13" t="str">
        <f t="shared" si="14"/>
        <v>OK</v>
      </c>
      <c r="N13" t="str">
        <f t="shared" ref="N13:N14" si="15">IF(H13="","Missing","OK")</f>
        <v>OK</v>
      </c>
      <c r="O13" t="str">
        <f>IF(F13&lt;DATE(2025,1,1),"Review","OK")</f>
        <v>OK</v>
      </c>
      <c r="P13" t="str">
        <f t="shared" si="5"/>
        <v>OK</v>
      </c>
    </row>
    <row r="14" spans="1:16">
      <c r="A14" t="s">
        <v>79</v>
      </c>
      <c r="B14" t="s">
        <v>80</v>
      </c>
      <c r="C14" t="s">
        <v>55</v>
      </c>
      <c r="D14" s="1" t="s">
        <v>81</v>
      </c>
      <c r="E14" s="2">
        <v>43899</v>
      </c>
      <c r="F14" s="2">
        <v>44575</v>
      </c>
      <c r="G14" t="s">
        <v>42</v>
      </c>
      <c r="H14" t="s">
        <v>43</v>
      </c>
      <c r="I14" t="s">
        <v>44</v>
      </c>
      <c r="J14" t="str">
        <f>IF(COUNTIF($A$2:$A$14,A14)&gt;1,"Duplicate","OK")</f>
        <v>OK</v>
      </c>
      <c r="K14" t="str">
        <f t="shared" si="11"/>
        <v>OK</v>
      </c>
      <c r="L14" t="str">
        <f t="shared" si="1"/>
        <v>OK</v>
      </c>
      <c r="M14" t="str">
        <f t="shared" si="14"/>
        <v>OK</v>
      </c>
      <c r="N14" t="str">
        <f t="shared" si="15"/>
        <v>OK</v>
      </c>
      <c r="O14" t="str">
        <f t="shared" si="7"/>
        <v>Review</v>
      </c>
      <c r="P14" t="str">
        <f t="shared" si="5"/>
        <v>OK</v>
      </c>
    </row>
  </sheetData>
  <hyperlinks>
    <hyperlink ref="D2" r:id="rId1" xr:uid="{6EBF6F0B-AFD5-44F6-968D-EE924AD97715}"/>
    <hyperlink ref="D3" r:id="rId2" xr:uid="{C4DA00F1-9944-4448-BC84-EFEB245E3D75}"/>
    <hyperlink ref="D4" r:id="rId3" xr:uid="{FEF24BDC-BC1E-4732-8B16-C9B56C30FA5C}"/>
    <hyperlink ref="D5" r:id="rId4" xr:uid="{F15601B3-DB0C-4C23-9544-5A46F8E118B9}"/>
    <hyperlink ref="D6" r:id="rId5" xr:uid="{3F256549-7A6F-44E5-BCE1-D76ABD7C30D7}"/>
    <hyperlink ref="D7" r:id="rId6" xr:uid="{EAB65AA1-ED47-44C8-8083-2573DC5C1F62}"/>
    <hyperlink ref="D9" r:id="rId7" xr:uid="{7B994BB3-EDC0-448E-ABE8-C61B26CCEAB1}"/>
    <hyperlink ref="D10" r:id="rId8" xr:uid="{DDFF9F90-9FA3-46ED-BC81-4D4253D09134}"/>
    <hyperlink ref="D11" r:id="rId9" xr:uid="{D74CF6E3-533C-4253-97A3-B81CE5ED4D29}"/>
    <hyperlink ref="D12" r:id="rId10" xr:uid="{2C8209A0-C2C8-4912-88CC-8ED1C021BF83}"/>
    <hyperlink ref="D13" r:id="rId11" xr:uid="{CFF42353-EC7D-419F-AAAD-BE829BA0E7CD}"/>
    <hyperlink ref="D14" r:id="rId12" xr:uid="{7D0874FD-5515-4608-8B3D-5D0B1BC58F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9C33-45D9-4804-983E-96CF787C8FC5}">
  <dimension ref="A1:D9"/>
  <sheetViews>
    <sheetView workbookViewId="0">
      <selection activeCell="E9" sqref="E9"/>
    </sheetView>
  </sheetViews>
  <sheetFormatPr defaultRowHeight="15"/>
  <cols>
    <col min="2" max="2" width="18" customWidth="1"/>
    <col min="3" max="3" width="18.42578125" customWidth="1"/>
    <col min="4" max="4" width="45.7109375" customWidth="1"/>
  </cols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86</v>
      </c>
      <c r="B2" t="s">
        <v>22</v>
      </c>
      <c r="C2" t="s">
        <v>87</v>
      </c>
      <c r="D2" t="s">
        <v>88</v>
      </c>
    </row>
    <row r="3" spans="1:4">
      <c r="A3" t="s">
        <v>89</v>
      </c>
      <c r="B3" t="s">
        <v>22</v>
      </c>
      <c r="C3" t="s">
        <v>90</v>
      </c>
      <c r="D3" t="s">
        <v>91</v>
      </c>
    </row>
    <row r="4" spans="1:4">
      <c r="A4" t="s">
        <v>92</v>
      </c>
      <c r="B4" t="s">
        <v>25</v>
      </c>
      <c r="C4" t="s">
        <v>90</v>
      </c>
      <c r="D4" t="s">
        <v>93</v>
      </c>
    </row>
    <row r="5" spans="1:4">
      <c r="A5" t="s">
        <v>94</v>
      </c>
      <c r="B5" t="s">
        <v>24</v>
      </c>
      <c r="C5" t="s">
        <v>95</v>
      </c>
      <c r="D5" t="s">
        <v>96</v>
      </c>
    </row>
    <row r="6" spans="1:4">
      <c r="A6" t="s">
        <v>97</v>
      </c>
      <c r="B6" t="s">
        <v>27</v>
      </c>
      <c r="C6" t="s">
        <v>98</v>
      </c>
      <c r="D6" t="s">
        <v>99</v>
      </c>
    </row>
    <row r="7" spans="1:4">
      <c r="A7" t="s">
        <v>100</v>
      </c>
      <c r="B7" t="s">
        <v>28</v>
      </c>
      <c r="C7" t="s">
        <v>90</v>
      </c>
      <c r="D7" t="s">
        <v>101</v>
      </c>
    </row>
    <row r="8" spans="1:4">
      <c r="A8" t="s">
        <v>102</v>
      </c>
      <c r="B8" t="s">
        <v>103</v>
      </c>
      <c r="C8" t="s">
        <v>90</v>
      </c>
      <c r="D8" t="s">
        <v>104</v>
      </c>
    </row>
    <row r="9" spans="1:4">
      <c r="A9" t="s">
        <v>105</v>
      </c>
      <c r="B9" t="s">
        <v>30</v>
      </c>
      <c r="C9" t="s">
        <v>95</v>
      </c>
      <c r="D9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2B3E-A4B2-4221-93B9-FA0316A68488}">
  <dimension ref="A1:B36"/>
  <sheetViews>
    <sheetView topLeftCell="A19" workbookViewId="0">
      <selection activeCell="H31" sqref="H31"/>
    </sheetView>
  </sheetViews>
  <sheetFormatPr defaultRowHeight="15"/>
  <cols>
    <col min="1" max="1" width="27.7109375" customWidth="1"/>
  </cols>
  <sheetData>
    <row r="1" spans="1:2">
      <c r="A1" t="s">
        <v>107</v>
      </c>
    </row>
    <row r="3" spans="1:2">
      <c r="A3" t="s">
        <v>108</v>
      </c>
      <c r="B3" t="s">
        <v>109</v>
      </c>
    </row>
    <row r="4" spans="1:2">
      <c r="A4" t="s">
        <v>110</v>
      </c>
      <c r="B4">
        <f>COUNTA(CUSTOMERS!A2:A14)</f>
        <v>13</v>
      </c>
    </row>
    <row r="5" spans="1:2">
      <c r="A5" t="s">
        <v>111</v>
      </c>
      <c r="B5">
        <f>COUNTIF(CUSTOMERS!J2:J14,"duplicate")</f>
        <v>2</v>
      </c>
    </row>
    <row r="6" spans="1:2">
      <c r="A6" t="s">
        <v>112</v>
      </c>
      <c r="B6">
        <f>COUNTIF(CUSTOMERS!K2:K14,"missing")</f>
        <v>1</v>
      </c>
    </row>
    <row r="7" spans="1:2">
      <c r="A7" t="s">
        <v>113</v>
      </c>
      <c r="B7">
        <f>COUNTIF(CUSTOMERS!M2:M14,"missing")</f>
        <v>1</v>
      </c>
    </row>
    <row r="8" spans="1:2">
      <c r="A8" t="s">
        <v>114</v>
      </c>
      <c r="B8">
        <f>COUNTIF(CUSTOMERS!N2:N14,"missing")</f>
        <v>1</v>
      </c>
    </row>
    <row r="9" spans="1:2">
      <c r="A9" t="s">
        <v>115</v>
      </c>
      <c r="B9">
        <f>COUNTIF(CUSTOMERS!2:14,"review")</f>
        <v>3</v>
      </c>
    </row>
    <row r="11" spans="1:2">
      <c r="A11" t="s">
        <v>116</v>
      </c>
    </row>
    <row r="12" spans="1:2">
      <c r="A12" t="s">
        <v>117</v>
      </c>
      <c r="B12" s="3">
        <f>B5/B4</f>
        <v>0.15384615384615385</v>
      </c>
    </row>
    <row r="13" spans="1:2">
      <c r="A13" t="s">
        <v>118</v>
      </c>
      <c r="B13" s="3">
        <f>B6/B4</f>
        <v>7.6923076923076927E-2</v>
      </c>
    </row>
    <row r="14" spans="1:2">
      <c r="A14" t="s">
        <v>119</v>
      </c>
      <c r="B14" s="3">
        <f>B8/B4</f>
        <v>7.6923076923076927E-2</v>
      </c>
    </row>
    <row r="15" spans="1:2">
      <c r="A15" t="s">
        <v>120</v>
      </c>
      <c r="B15" s="3">
        <f>B9/B4</f>
        <v>0.23076923076923078</v>
      </c>
    </row>
    <row r="17" spans="1:2">
      <c r="A17" t="s">
        <v>121</v>
      </c>
    </row>
    <row r="18" spans="1:2">
      <c r="A18" t="s">
        <v>122</v>
      </c>
      <c r="B18">
        <f>COUNTA(CONSENTS!A2:A13)</f>
        <v>12</v>
      </c>
    </row>
    <row r="19" spans="1:2">
      <c r="A19" t="s">
        <v>123</v>
      </c>
      <c r="B19">
        <f>COUNTIF(CONSENTS!I2:I13,"missing")</f>
        <v>1</v>
      </c>
    </row>
    <row r="20" spans="1:2">
      <c r="A20" t="s">
        <v>124</v>
      </c>
      <c r="B20">
        <f>COUNTIF(CONSENTS!J2:J13,"missing")</f>
        <v>1</v>
      </c>
    </row>
    <row r="21" spans="1:2">
      <c r="A21" t="s">
        <v>125</v>
      </c>
      <c r="B21">
        <f>COUNTIF(CONSENTS!K2:K3,"review")</f>
        <v>0</v>
      </c>
    </row>
    <row r="22" spans="1:2">
      <c r="A22" t="s">
        <v>126</v>
      </c>
      <c r="B22">
        <f>COUNTIF(CONSENTS!L2:L13,"not found")</f>
        <v>0</v>
      </c>
    </row>
    <row r="24" spans="1:2">
      <c r="A24" t="s">
        <v>127</v>
      </c>
    </row>
    <row r="25" spans="1:2">
      <c r="A25" t="s">
        <v>128</v>
      </c>
      <c r="B25">
        <f>COUNTA(DATA_INVENTORY!A2:A9)</f>
        <v>8</v>
      </c>
    </row>
    <row r="26" spans="1:2">
      <c r="A26" t="s">
        <v>129</v>
      </c>
      <c r="B26">
        <f>COUNTIF(DATA_INVENTORY!J2:J9,"Missing")</f>
        <v>1</v>
      </c>
    </row>
    <row r="27" spans="1:2">
      <c r="A27" t="s">
        <v>114</v>
      </c>
      <c r="B27">
        <f>COUNTIF(DATA_INVENTORY!L2:L9,"Missing")</f>
        <v>1</v>
      </c>
    </row>
    <row r="28" spans="1:2">
      <c r="A28" t="s">
        <v>113</v>
      </c>
      <c r="B28">
        <f>COUNTIF(DATA_INVENTORY!L2:L9,"Missing")</f>
        <v>1</v>
      </c>
    </row>
    <row r="29" spans="1:2">
      <c r="A29" t="s">
        <v>130</v>
      </c>
      <c r="B29">
        <f>COUNTIF(DATA_INVENTORY!M2:M9,"Review")</f>
        <v>1</v>
      </c>
    </row>
    <row r="31" spans="1:2">
      <c r="A31" t="s">
        <v>131</v>
      </c>
    </row>
    <row r="32" spans="1:2">
      <c r="A32" t="s">
        <v>132</v>
      </c>
      <c r="B32">
        <f>COUNTA(RISK_REGISTER!A2:A6)</f>
        <v>5</v>
      </c>
    </row>
    <row r="33" spans="1:2">
      <c r="A33" t="s">
        <v>133</v>
      </c>
      <c r="B33">
        <f>COUNTIF(RISK_REGISTER!I2:I6,"High")</f>
        <v>3</v>
      </c>
    </row>
    <row r="34" spans="1:2">
      <c r="A34" t="s">
        <v>134</v>
      </c>
      <c r="B34">
        <f>COUNTIF(RISK_REGISTER!I2:I6,"Medium")</f>
        <v>1</v>
      </c>
    </row>
    <row r="35" spans="1:2">
      <c r="A35" t="s">
        <v>135</v>
      </c>
      <c r="B35">
        <f>COUNTIF(RISK_REGISTER!I2:I6,"Low")</f>
        <v>1</v>
      </c>
    </row>
    <row r="36" spans="1:2">
      <c r="A36" t="s">
        <v>136</v>
      </c>
      <c r="B36">
        <f>COUNTIF(RISK_REGISTER!I2:I6,"Critical")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9FF7-E7F4-416B-A410-6ADC5F546EED}">
  <dimension ref="A1:L13"/>
  <sheetViews>
    <sheetView topLeftCell="E1" workbookViewId="0">
      <selection activeCell="N1" sqref="N1"/>
    </sheetView>
  </sheetViews>
  <sheetFormatPr defaultRowHeight="15"/>
  <cols>
    <col min="1" max="1" width="14.5703125" customWidth="1"/>
    <col min="2" max="2" width="13.42578125" customWidth="1"/>
    <col min="3" max="3" width="18.140625" customWidth="1"/>
    <col min="4" max="4" width="11.85546875" customWidth="1"/>
    <col min="5" max="5" width="15.28515625" customWidth="1"/>
    <col min="6" max="6" width="14.7109375" customWidth="1"/>
    <col min="7" max="7" width="18.140625" customWidth="1"/>
    <col min="8" max="8" width="18.28515625" customWidth="1"/>
    <col min="9" max="9" width="18.7109375" customWidth="1"/>
    <col min="10" max="10" width="27.42578125" customWidth="1"/>
    <col min="11" max="11" width="20.7109375" customWidth="1"/>
    <col min="12" max="12" width="18.5703125" customWidth="1"/>
  </cols>
  <sheetData>
    <row r="1" spans="1:12">
      <c r="A1" t="s">
        <v>137</v>
      </c>
      <c r="B1" t="s">
        <v>22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>
      <c r="A2" t="s">
        <v>148</v>
      </c>
      <c r="B2" t="s">
        <v>38</v>
      </c>
      <c r="C2" t="s">
        <v>43</v>
      </c>
      <c r="D2" t="s">
        <v>149</v>
      </c>
      <c r="E2" t="s">
        <v>150</v>
      </c>
      <c r="F2" s="2">
        <v>44997</v>
      </c>
      <c r="H2" t="s">
        <v>151</v>
      </c>
      <c r="I2" t="str">
        <f>IF(AND(E2="granted",F2=""),"missing","ok")</f>
        <v>ok</v>
      </c>
      <c r="J2" t="str">
        <f>IF(AND(E2="withdrawn",G2=""),"Missing","ok")</f>
        <v>ok</v>
      </c>
      <c r="K2" t="str">
        <f>IF(AND(D2="consent",E2="Not applicable"),"Review",IF(AND(D2&lt;&gt;"consent",E2&lt;&gt;"Not applicable"),"Review","ok"))</f>
        <v>ok</v>
      </c>
      <c r="L2" t="str">
        <f>IF(COUNTIF(CUSTOMERS!$A$2:$A$14,B2)&gt;0,"ok","not found")</f>
        <v>ok</v>
      </c>
    </row>
    <row r="3" spans="1:12">
      <c r="A3" t="s">
        <v>152</v>
      </c>
      <c r="B3" t="s">
        <v>45</v>
      </c>
      <c r="C3" t="s">
        <v>153</v>
      </c>
      <c r="D3" t="s">
        <v>154</v>
      </c>
      <c r="E3" t="s">
        <v>155</v>
      </c>
      <c r="H3" t="s">
        <v>156</v>
      </c>
      <c r="I3" t="str">
        <f t="shared" ref="I3:I13" si="0">IF(AND(E3="granted",F3=""),"missing","ok")</f>
        <v>ok</v>
      </c>
      <c r="J3" t="str">
        <f t="shared" ref="J3:J13" si="1">IF(AND(E3="withdrawn",G3=""),"Missing","ok")</f>
        <v>ok</v>
      </c>
      <c r="K3" t="str">
        <f t="shared" ref="K3:K13" si="2">IF(AND(D3="consent",E3="Not applicable"),"Review",IF(AND(D3&lt;&gt;"consent",E3&lt;&gt;"Not applicable"),"Review","ok"))</f>
        <v>ok</v>
      </c>
      <c r="L3" t="str">
        <f>IF(COUNTIF(CUSTOMERS!$A$2:$A$14,B3)&gt;0,"ok","not found")</f>
        <v>ok</v>
      </c>
    </row>
    <row r="4" spans="1:12">
      <c r="A4" t="s">
        <v>157</v>
      </c>
      <c r="B4" t="s">
        <v>48</v>
      </c>
      <c r="C4" t="s">
        <v>43</v>
      </c>
      <c r="D4" t="s">
        <v>149</v>
      </c>
      <c r="E4" t="s">
        <v>150</v>
      </c>
      <c r="F4" s="2">
        <v>45433</v>
      </c>
      <c r="H4" t="s">
        <v>151</v>
      </c>
      <c r="I4" t="str">
        <f t="shared" si="0"/>
        <v>ok</v>
      </c>
      <c r="J4" t="str">
        <f t="shared" si="1"/>
        <v>ok</v>
      </c>
      <c r="K4" t="str">
        <f t="shared" si="2"/>
        <v>ok</v>
      </c>
      <c r="L4" t="str">
        <f>IF(COUNTIF(CUSTOMERS!$A$2:$A$14,B4)&gt;0,"ok","not found")</f>
        <v>ok</v>
      </c>
    </row>
    <row r="5" spans="1:12">
      <c r="A5" t="s">
        <v>158</v>
      </c>
      <c r="B5" t="s">
        <v>53</v>
      </c>
      <c r="C5" t="s">
        <v>159</v>
      </c>
      <c r="D5" t="s">
        <v>154</v>
      </c>
      <c r="E5" t="s">
        <v>155</v>
      </c>
      <c r="H5" t="s">
        <v>160</v>
      </c>
      <c r="I5" t="str">
        <f t="shared" si="0"/>
        <v>ok</v>
      </c>
      <c r="J5" t="str">
        <f t="shared" si="1"/>
        <v>ok</v>
      </c>
      <c r="K5" t="str">
        <f t="shared" si="2"/>
        <v>ok</v>
      </c>
      <c r="L5" t="str">
        <f>IF(COUNTIF(CUSTOMERS!$A$2:$A$14,B5)&gt;0,"ok","not found")</f>
        <v>ok</v>
      </c>
    </row>
    <row r="6" spans="1:12">
      <c r="A6" t="s">
        <v>161</v>
      </c>
      <c r="B6" t="s">
        <v>58</v>
      </c>
      <c r="C6" t="s">
        <v>43</v>
      </c>
      <c r="D6" t="s">
        <v>149</v>
      </c>
      <c r="E6" t="s">
        <v>150</v>
      </c>
      <c r="F6" s="2">
        <v>45690</v>
      </c>
      <c r="H6" t="s">
        <v>162</v>
      </c>
      <c r="I6" t="str">
        <f t="shared" si="0"/>
        <v>ok</v>
      </c>
      <c r="J6" t="str">
        <f t="shared" si="1"/>
        <v>ok</v>
      </c>
      <c r="K6" t="str">
        <f t="shared" si="2"/>
        <v>ok</v>
      </c>
      <c r="L6" t="str">
        <f>IF(COUNTIF(CUSTOMERS!$A$2:$A$14,B6)&gt;0,"ok","not found")</f>
        <v>ok</v>
      </c>
    </row>
    <row r="7" spans="1:12">
      <c r="A7" t="s">
        <v>163</v>
      </c>
      <c r="B7" t="s">
        <v>62</v>
      </c>
      <c r="C7" t="s">
        <v>43</v>
      </c>
      <c r="D7" t="s">
        <v>149</v>
      </c>
      <c r="E7" t="s">
        <v>164</v>
      </c>
      <c r="F7" s="2">
        <v>45087</v>
      </c>
      <c r="G7" s="2">
        <v>46127</v>
      </c>
      <c r="H7" t="s">
        <v>151</v>
      </c>
      <c r="I7" t="str">
        <f t="shared" si="0"/>
        <v>ok</v>
      </c>
      <c r="J7" t="str">
        <f t="shared" si="1"/>
        <v>ok</v>
      </c>
      <c r="K7" t="str">
        <f t="shared" si="2"/>
        <v>ok</v>
      </c>
      <c r="L7" t="str">
        <f>IF(COUNTIF(CUSTOMERS!$A$2:$A$14,B7)&gt;0,"ok","not found")</f>
        <v>ok</v>
      </c>
    </row>
    <row r="8" spans="1:12">
      <c r="A8" t="s">
        <v>165</v>
      </c>
      <c r="B8" t="s">
        <v>65</v>
      </c>
      <c r="C8" t="s">
        <v>43</v>
      </c>
      <c r="D8" t="s">
        <v>149</v>
      </c>
      <c r="E8" t="s">
        <v>150</v>
      </c>
      <c r="H8" t="s">
        <v>151</v>
      </c>
      <c r="I8" t="str">
        <f t="shared" si="0"/>
        <v>missing</v>
      </c>
      <c r="J8" t="str">
        <f t="shared" si="1"/>
        <v>ok</v>
      </c>
      <c r="K8" t="str">
        <f t="shared" si="2"/>
        <v>ok</v>
      </c>
      <c r="L8" t="str">
        <f>IF(COUNTIF(CUSTOMERS!$A$2:$A$14,B8)&gt;0,"ok","not found")</f>
        <v>ok</v>
      </c>
    </row>
    <row r="9" spans="1:12">
      <c r="A9" t="s">
        <v>166</v>
      </c>
      <c r="B9" t="s">
        <v>67</v>
      </c>
      <c r="C9" t="s">
        <v>43</v>
      </c>
      <c r="D9" t="s">
        <v>149</v>
      </c>
      <c r="E9" t="s">
        <v>150</v>
      </c>
      <c r="F9" s="2">
        <v>44578</v>
      </c>
      <c r="H9" t="s">
        <v>151</v>
      </c>
      <c r="I9" t="str">
        <f t="shared" si="0"/>
        <v>ok</v>
      </c>
      <c r="J9" t="str">
        <f t="shared" si="1"/>
        <v>ok</v>
      </c>
      <c r="K9" t="str">
        <f t="shared" si="2"/>
        <v>ok</v>
      </c>
      <c r="L9" t="str">
        <f>IF(COUNTIF(CUSTOMERS!$A$2:$A$14,B9)&gt;0,"ok","not found")</f>
        <v>ok</v>
      </c>
    </row>
    <row r="10" spans="1:12">
      <c r="A10" t="s">
        <v>167</v>
      </c>
      <c r="B10" t="s">
        <v>70</v>
      </c>
      <c r="C10" t="s">
        <v>153</v>
      </c>
      <c r="D10" t="s">
        <v>154</v>
      </c>
      <c r="E10" t="s">
        <v>155</v>
      </c>
      <c r="H10" t="s">
        <v>156</v>
      </c>
      <c r="I10" t="str">
        <f t="shared" si="0"/>
        <v>ok</v>
      </c>
      <c r="J10" t="str">
        <f t="shared" si="1"/>
        <v>ok</v>
      </c>
      <c r="K10" t="str">
        <f t="shared" si="2"/>
        <v>ok</v>
      </c>
      <c r="L10" t="str">
        <f>IF(COUNTIF(CUSTOMERS!$A$2:$A$14,B10)&gt;0,"ok","not found")</f>
        <v>ok</v>
      </c>
    </row>
    <row r="11" spans="1:12">
      <c r="A11" t="s">
        <v>168</v>
      </c>
      <c r="B11" t="s">
        <v>73</v>
      </c>
      <c r="C11" t="s">
        <v>43</v>
      </c>
      <c r="D11" t="s">
        <v>149</v>
      </c>
      <c r="E11" t="s">
        <v>164</v>
      </c>
      <c r="F11" s="2">
        <v>45595</v>
      </c>
      <c r="H11" t="s">
        <v>151</v>
      </c>
      <c r="I11" t="str">
        <f t="shared" si="0"/>
        <v>ok</v>
      </c>
      <c r="J11" t="str">
        <f t="shared" si="1"/>
        <v>Missing</v>
      </c>
      <c r="K11" t="str">
        <f t="shared" si="2"/>
        <v>ok</v>
      </c>
      <c r="L11" t="str">
        <f>IF(COUNTIF(CUSTOMERS!$A$2:$A$14,B11)&gt;0,"ok","not found")</f>
        <v>ok</v>
      </c>
    </row>
    <row r="12" spans="1:12">
      <c r="A12" t="s">
        <v>169</v>
      </c>
      <c r="B12" t="s">
        <v>76</v>
      </c>
      <c r="C12" t="s">
        <v>43</v>
      </c>
      <c r="D12" t="s">
        <v>149</v>
      </c>
      <c r="E12" t="s">
        <v>150</v>
      </c>
      <c r="F12" s="2">
        <v>45637</v>
      </c>
      <c r="H12" t="s">
        <v>162</v>
      </c>
      <c r="I12" t="str">
        <f t="shared" si="0"/>
        <v>ok</v>
      </c>
      <c r="J12" t="str">
        <f t="shared" si="1"/>
        <v>ok</v>
      </c>
      <c r="K12" t="str">
        <f t="shared" si="2"/>
        <v>ok</v>
      </c>
      <c r="L12" t="str">
        <f>IF(COUNTIF(CUSTOMERS!$A$2:$A$14,B12)&gt;0,"ok","not found")</f>
        <v>ok</v>
      </c>
    </row>
    <row r="13" spans="1:12">
      <c r="A13" t="s">
        <v>170</v>
      </c>
      <c r="B13" t="s">
        <v>79</v>
      </c>
      <c r="C13" t="s">
        <v>43</v>
      </c>
      <c r="D13" t="s">
        <v>149</v>
      </c>
      <c r="E13" t="s">
        <v>150</v>
      </c>
      <c r="F13" s="2">
        <v>43899</v>
      </c>
      <c r="H13" t="s">
        <v>171</v>
      </c>
      <c r="I13" t="str">
        <f t="shared" si="0"/>
        <v>ok</v>
      </c>
      <c r="J13" t="str">
        <f t="shared" si="1"/>
        <v>ok</v>
      </c>
      <c r="K13" t="str">
        <f t="shared" si="2"/>
        <v>ok</v>
      </c>
      <c r="L13" t="str">
        <f>IF(COUNTIF(CUSTOMERS!$A$2:$A$14,B13)&gt;0,"ok","not found")</f>
        <v>ok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ED86-99F8-4791-AEE0-D9C82A6D939A}">
  <dimension ref="A1:M9"/>
  <sheetViews>
    <sheetView tabSelected="1" workbookViewId="0">
      <selection activeCell="G9" sqref="G9"/>
    </sheetView>
  </sheetViews>
  <sheetFormatPr defaultRowHeight="15"/>
  <cols>
    <col min="1" max="1" width="18.5703125" customWidth="1"/>
    <col min="2" max="2" width="30" customWidth="1"/>
    <col min="3" max="4" width="18.5703125" customWidth="1"/>
    <col min="5" max="5" width="27.28515625" customWidth="1"/>
    <col min="6" max="6" width="18.28515625" customWidth="1"/>
    <col min="7" max="7" width="18.140625" customWidth="1"/>
    <col min="8" max="8" width="27.5703125" customWidth="1"/>
    <col min="9" max="9" width="27.42578125" customWidth="1"/>
    <col min="10" max="10" width="18.5703125" customWidth="1"/>
    <col min="11" max="11" width="18.28515625" customWidth="1"/>
    <col min="12" max="12" width="18.5703125" customWidth="1"/>
    <col min="13" max="13" width="18.28515625" customWidth="1"/>
  </cols>
  <sheetData>
    <row r="1" spans="1:13">
      <c r="A1" t="s">
        <v>172</v>
      </c>
      <c r="B1" t="s">
        <v>173</v>
      </c>
      <c r="C1" t="s">
        <v>174</v>
      </c>
      <c r="D1" t="s">
        <v>29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34</v>
      </c>
      <c r="M1" t="s">
        <v>182</v>
      </c>
    </row>
    <row r="2" spans="1:13">
      <c r="A2" t="s">
        <v>183</v>
      </c>
      <c r="B2" t="s">
        <v>184</v>
      </c>
      <c r="C2" t="s">
        <v>185</v>
      </c>
      <c r="D2" t="s">
        <v>43</v>
      </c>
      <c r="E2" t="s">
        <v>160</v>
      </c>
      <c r="F2" t="s">
        <v>42</v>
      </c>
      <c r="G2" t="s">
        <v>186</v>
      </c>
      <c r="H2" t="s">
        <v>187</v>
      </c>
      <c r="I2" t="s">
        <v>188</v>
      </c>
      <c r="J2" t="str">
        <f>IF(G2="","missing","ok")</f>
        <v>ok</v>
      </c>
      <c r="K2" t="str">
        <f>IF(D2="","Missing","ok")</f>
        <v>ok</v>
      </c>
      <c r="L2" t="str">
        <f>IF(F2="","Missing","ok")</f>
        <v>ok</v>
      </c>
      <c r="M2" t="str">
        <f>IF(AND(H2="yes",TRIM(F2)=""),"Review","ok")</f>
        <v>ok</v>
      </c>
    </row>
    <row r="3" spans="1:13">
      <c r="A3" t="s">
        <v>189</v>
      </c>
      <c r="B3" t="s">
        <v>190</v>
      </c>
      <c r="C3" t="s">
        <v>191</v>
      </c>
      <c r="D3" t="s">
        <v>192</v>
      </c>
      <c r="E3" t="s">
        <v>193</v>
      </c>
      <c r="F3" t="s">
        <v>42</v>
      </c>
      <c r="G3" t="s">
        <v>186</v>
      </c>
      <c r="H3" t="s">
        <v>187</v>
      </c>
      <c r="I3" t="s">
        <v>188</v>
      </c>
      <c r="J3" t="str">
        <f t="shared" ref="J3:J9" si="0">IF(G3="","missing","ok")</f>
        <v>ok</v>
      </c>
      <c r="K3" t="str">
        <f t="shared" ref="K3:K9" si="1">IF(D3="","Missing","ok")</f>
        <v>ok</v>
      </c>
      <c r="L3" t="str">
        <f t="shared" ref="L3:L9" si="2">IF(F3="","Missing","ok")</f>
        <v>ok</v>
      </c>
      <c r="M3" t="str">
        <f t="shared" ref="M3:M9" si="3">IF(AND(H3="yes",TRIM(F3)=""),"Review","ok")</f>
        <v>ok</v>
      </c>
    </row>
    <row r="4" spans="1:13">
      <c r="A4" t="s">
        <v>194</v>
      </c>
      <c r="B4" t="s">
        <v>195</v>
      </c>
      <c r="C4" t="s">
        <v>196</v>
      </c>
      <c r="D4" t="s">
        <v>52</v>
      </c>
      <c r="E4" t="s">
        <v>197</v>
      </c>
      <c r="F4" t="s">
        <v>42</v>
      </c>
      <c r="G4" t="s">
        <v>198</v>
      </c>
      <c r="H4" t="s">
        <v>187</v>
      </c>
      <c r="I4" t="s">
        <v>188</v>
      </c>
      <c r="J4" t="str">
        <f t="shared" si="0"/>
        <v>ok</v>
      </c>
      <c r="K4" t="str">
        <f t="shared" si="1"/>
        <v>ok</v>
      </c>
      <c r="L4" t="str">
        <f t="shared" si="2"/>
        <v>ok</v>
      </c>
      <c r="M4" t="str">
        <f t="shared" si="3"/>
        <v>ok</v>
      </c>
    </row>
    <row r="5" spans="1:13">
      <c r="A5" t="s">
        <v>199</v>
      </c>
      <c r="B5" t="s">
        <v>200</v>
      </c>
      <c r="C5" t="s">
        <v>201</v>
      </c>
      <c r="D5" t="s">
        <v>202</v>
      </c>
      <c r="E5" t="s">
        <v>160</v>
      </c>
      <c r="G5" t="s">
        <v>203</v>
      </c>
      <c r="H5" t="s">
        <v>187</v>
      </c>
      <c r="I5" t="s">
        <v>188</v>
      </c>
      <c r="J5" t="str">
        <f t="shared" si="0"/>
        <v>ok</v>
      </c>
      <c r="K5" t="str">
        <f t="shared" si="1"/>
        <v>ok</v>
      </c>
      <c r="L5" t="str">
        <f t="shared" si="2"/>
        <v>Missing</v>
      </c>
      <c r="M5" t="str">
        <f t="shared" si="3"/>
        <v>Review</v>
      </c>
    </row>
    <row r="6" spans="1:13">
      <c r="A6" t="s">
        <v>204</v>
      </c>
      <c r="B6" t="s">
        <v>205</v>
      </c>
      <c r="C6" t="s">
        <v>206</v>
      </c>
      <c r="E6" t="s">
        <v>207</v>
      </c>
      <c r="F6" t="s">
        <v>208</v>
      </c>
      <c r="G6" t="s">
        <v>209</v>
      </c>
      <c r="H6" t="s">
        <v>187</v>
      </c>
      <c r="I6" t="s">
        <v>188</v>
      </c>
      <c r="J6" t="str">
        <f t="shared" si="0"/>
        <v>ok</v>
      </c>
      <c r="K6" t="str">
        <f t="shared" si="1"/>
        <v>Missing</v>
      </c>
      <c r="L6" t="str">
        <f t="shared" si="2"/>
        <v>ok</v>
      </c>
      <c r="M6" t="str">
        <f t="shared" si="3"/>
        <v>ok</v>
      </c>
    </row>
    <row r="7" spans="1:13">
      <c r="A7" t="s">
        <v>210</v>
      </c>
      <c r="B7" t="s">
        <v>211</v>
      </c>
      <c r="C7" t="s">
        <v>212</v>
      </c>
      <c r="D7" t="s">
        <v>213</v>
      </c>
      <c r="E7" t="s">
        <v>214</v>
      </c>
      <c r="F7" t="s">
        <v>42</v>
      </c>
      <c r="G7" t="s">
        <v>198</v>
      </c>
      <c r="H7" t="s">
        <v>187</v>
      </c>
      <c r="I7" t="s">
        <v>187</v>
      </c>
      <c r="J7" t="str">
        <f t="shared" si="0"/>
        <v>ok</v>
      </c>
      <c r="K7" t="str">
        <f t="shared" si="1"/>
        <v>ok</v>
      </c>
      <c r="L7" t="str">
        <f t="shared" si="2"/>
        <v>ok</v>
      </c>
      <c r="M7" t="str">
        <f t="shared" si="3"/>
        <v>ok</v>
      </c>
    </row>
    <row r="8" spans="1:13">
      <c r="A8" t="s">
        <v>215</v>
      </c>
      <c r="B8" t="s">
        <v>216</v>
      </c>
      <c r="C8" t="s">
        <v>217</v>
      </c>
      <c r="D8" t="s">
        <v>52</v>
      </c>
      <c r="E8" t="s">
        <v>218</v>
      </c>
      <c r="F8" t="s">
        <v>208</v>
      </c>
      <c r="G8" t="s">
        <v>219</v>
      </c>
      <c r="H8" t="s">
        <v>188</v>
      </c>
      <c r="I8" t="s">
        <v>188</v>
      </c>
      <c r="J8" t="str">
        <f t="shared" si="0"/>
        <v>ok</v>
      </c>
      <c r="K8" t="str">
        <f t="shared" si="1"/>
        <v>ok</v>
      </c>
      <c r="L8" t="str">
        <f t="shared" si="2"/>
        <v>ok</v>
      </c>
      <c r="M8" t="str">
        <f t="shared" si="3"/>
        <v>ok</v>
      </c>
    </row>
    <row r="9" spans="1:13">
      <c r="A9" t="s">
        <v>220</v>
      </c>
      <c r="B9" t="s">
        <v>221</v>
      </c>
      <c r="C9" t="s">
        <v>222</v>
      </c>
      <c r="D9" t="s">
        <v>43</v>
      </c>
      <c r="E9" t="s">
        <v>223</v>
      </c>
      <c r="F9" t="s">
        <v>208</v>
      </c>
      <c r="H9" t="s">
        <v>187</v>
      </c>
      <c r="I9" t="s">
        <v>188</v>
      </c>
      <c r="J9" t="str">
        <f t="shared" si="0"/>
        <v>missing</v>
      </c>
      <c r="K9" t="str">
        <f t="shared" si="1"/>
        <v>ok</v>
      </c>
      <c r="L9" t="str">
        <f t="shared" si="2"/>
        <v>ok</v>
      </c>
      <c r="M9" t="str">
        <f t="shared" si="3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C175-46AC-4145-9320-16B78C0A4007}">
  <dimension ref="A1:L6"/>
  <sheetViews>
    <sheetView topLeftCell="E1" workbookViewId="0">
      <selection activeCell="J4" sqref="J4"/>
    </sheetView>
  </sheetViews>
  <sheetFormatPr defaultRowHeight="15"/>
  <cols>
    <col min="1" max="1" width="18.140625" customWidth="1"/>
    <col min="2" max="2" width="18.42578125" customWidth="1"/>
    <col min="3" max="3" width="18.28515625" customWidth="1"/>
    <col min="4" max="4" width="27" customWidth="1"/>
    <col min="5" max="5" width="57" customWidth="1"/>
    <col min="9" max="9" width="11.28515625" customWidth="1"/>
    <col min="10" max="10" width="47" customWidth="1"/>
    <col min="11" max="12" width="18.5703125" customWidth="1"/>
  </cols>
  <sheetData>
    <row r="1" spans="1:12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</row>
    <row r="2" spans="1:12">
      <c r="A2" t="s">
        <v>236</v>
      </c>
      <c r="B2" t="s">
        <v>237</v>
      </c>
      <c r="C2" t="s">
        <v>199</v>
      </c>
      <c r="D2" t="s">
        <v>238</v>
      </c>
      <c r="E2" t="s">
        <v>239</v>
      </c>
      <c r="F2">
        <v>3</v>
      </c>
      <c r="G2">
        <v>4</v>
      </c>
      <c r="H2">
        <f>F2*G2</f>
        <v>12</v>
      </c>
      <c r="I2" t="str">
        <f>IF(H2&lt;=4,"Low",IF(H2&lt;=9,"Medium",IF(H2&lt;=16,"High","Critical")))</f>
        <v>High</v>
      </c>
      <c r="J2" t="s">
        <v>240</v>
      </c>
      <c r="K2" t="s">
        <v>237</v>
      </c>
      <c r="L2" t="s">
        <v>241</v>
      </c>
    </row>
    <row r="3" spans="1:12">
      <c r="A3" t="s">
        <v>242</v>
      </c>
      <c r="B3" t="s">
        <v>237</v>
      </c>
      <c r="C3" t="s">
        <v>204</v>
      </c>
      <c r="D3" t="s">
        <v>243</v>
      </c>
      <c r="E3" t="s">
        <v>244</v>
      </c>
      <c r="F3">
        <v>3</v>
      </c>
      <c r="G3">
        <v>3</v>
      </c>
      <c r="H3">
        <f t="shared" ref="H3:H6" si="0">F3*G3</f>
        <v>9</v>
      </c>
      <c r="I3" t="str">
        <f t="shared" ref="I3:I6" si="1">IF(H3&lt;=4,"Low",IF(H3&lt;=9,"Medium",IF(H3&lt;=16,"High","Critical")))</f>
        <v>Medium</v>
      </c>
      <c r="J3" t="s">
        <v>245</v>
      </c>
      <c r="K3" t="s">
        <v>237</v>
      </c>
      <c r="L3" t="s">
        <v>241</v>
      </c>
    </row>
    <row r="4" spans="1:12">
      <c r="A4" t="s">
        <v>246</v>
      </c>
      <c r="B4" t="s">
        <v>237</v>
      </c>
      <c r="C4" t="s">
        <v>215</v>
      </c>
      <c r="D4" t="s">
        <v>247</v>
      </c>
      <c r="E4" t="s">
        <v>248</v>
      </c>
      <c r="F4">
        <v>2</v>
      </c>
      <c r="G4">
        <v>2</v>
      </c>
      <c r="H4">
        <f t="shared" si="0"/>
        <v>4</v>
      </c>
      <c r="I4" t="str">
        <f t="shared" si="1"/>
        <v>Low</v>
      </c>
      <c r="J4" t="s">
        <v>249</v>
      </c>
      <c r="K4" t="s">
        <v>237</v>
      </c>
      <c r="L4" t="s">
        <v>241</v>
      </c>
    </row>
    <row r="5" spans="1:12">
      <c r="A5" t="s">
        <v>250</v>
      </c>
      <c r="B5" t="s">
        <v>192</v>
      </c>
      <c r="C5" t="s">
        <v>251</v>
      </c>
      <c r="D5" t="s">
        <v>252</v>
      </c>
      <c r="E5" t="s">
        <v>253</v>
      </c>
      <c r="F5">
        <v>3</v>
      </c>
      <c r="G5">
        <v>4</v>
      </c>
      <c r="H5">
        <f t="shared" si="0"/>
        <v>12</v>
      </c>
      <c r="I5" t="str">
        <f t="shared" si="1"/>
        <v>High</v>
      </c>
      <c r="J5" t="s">
        <v>254</v>
      </c>
      <c r="K5" t="s">
        <v>192</v>
      </c>
      <c r="L5" t="s">
        <v>241</v>
      </c>
    </row>
    <row r="6" spans="1:12">
      <c r="A6" t="s">
        <v>255</v>
      </c>
      <c r="B6" t="s">
        <v>192</v>
      </c>
      <c r="C6" t="s">
        <v>251</v>
      </c>
      <c r="D6" t="s">
        <v>256</v>
      </c>
      <c r="E6" t="s">
        <v>257</v>
      </c>
      <c r="F6">
        <v>3</v>
      </c>
      <c r="G6">
        <v>4</v>
      </c>
      <c r="H6">
        <f t="shared" si="0"/>
        <v>12</v>
      </c>
      <c r="I6" t="str">
        <f t="shared" si="1"/>
        <v>High</v>
      </c>
      <c r="J6" t="s">
        <v>258</v>
      </c>
      <c r="K6" t="s">
        <v>192</v>
      </c>
      <c r="L6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614C-0342-4766-BC3A-55F50C7ED989}">
  <dimension ref="A1:H34"/>
  <sheetViews>
    <sheetView topLeftCell="A23" workbookViewId="0">
      <selection activeCell="E13" sqref="E13"/>
    </sheetView>
  </sheetViews>
  <sheetFormatPr defaultRowHeight="15"/>
  <cols>
    <col min="1" max="1" width="40.7109375" customWidth="1"/>
    <col min="2" max="2" width="38.28515625" customWidth="1"/>
    <col min="3" max="3" width="27.28515625" customWidth="1"/>
    <col min="5" max="5" width="19" customWidth="1"/>
  </cols>
  <sheetData>
    <row r="1" spans="1:8" ht="23.25">
      <c r="A1" s="35" t="s">
        <v>0</v>
      </c>
      <c r="B1" s="36"/>
      <c r="C1" s="36"/>
      <c r="D1" s="36"/>
      <c r="E1" s="36"/>
      <c r="F1" s="36"/>
      <c r="G1" s="36"/>
      <c r="H1" s="36"/>
    </row>
    <row r="2" spans="1:8">
      <c r="A2" s="37" t="s">
        <v>259</v>
      </c>
      <c r="B2" s="36"/>
      <c r="C2" s="36"/>
      <c r="D2" s="36"/>
      <c r="E2" s="36"/>
      <c r="F2" s="36"/>
      <c r="G2" s="36"/>
      <c r="H2" s="36"/>
    </row>
    <row r="4" spans="1:8">
      <c r="A4" s="38" t="s">
        <v>260</v>
      </c>
      <c r="B4" s="39"/>
      <c r="C4" s="38" t="s">
        <v>261</v>
      </c>
      <c r="D4" s="39"/>
      <c r="E4" s="38" t="s">
        <v>262</v>
      </c>
      <c r="F4" s="39"/>
      <c r="G4" s="44" t="s">
        <v>133</v>
      </c>
      <c r="H4" s="45"/>
    </row>
    <row r="5" spans="1:8" ht="26.25">
      <c r="A5" s="40">
        <f>DATA_QUALITY!B4</f>
        <v>13</v>
      </c>
      <c r="B5" s="41"/>
      <c r="C5" s="40">
        <f>SUM(DATA_QUALITY!B5:B9)</f>
        <v>8</v>
      </c>
      <c r="D5" s="41"/>
      <c r="E5" s="5"/>
      <c r="F5" s="8"/>
      <c r="G5" s="5"/>
      <c r="H5" s="6"/>
    </row>
    <row r="6" spans="1:8" ht="26.25">
      <c r="A6" s="42"/>
      <c r="B6" s="43"/>
      <c r="C6" s="4"/>
      <c r="D6" s="7"/>
      <c r="E6" s="42">
        <f>SUM(DATA_QUALITY!B26:B28)</f>
        <v>3</v>
      </c>
      <c r="F6" s="43"/>
      <c r="G6" s="42">
        <f>DATA_QUALITY!B33</f>
        <v>3</v>
      </c>
      <c r="H6" s="46"/>
    </row>
    <row r="9" spans="1:8">
      <c r="A9" s="9" t="s">
        <v>263</v>
      </c>
      <c r="B9" s="10" t="s">
        <v>264</v>
      </c>
    </row>
    <row r="10" spans="1:8">
      <c r="A10" t="s">
        <v>265</v>
      </c>
      <c r="B10" s="26">
        <f>DATA_QUALITY!B35</f>
        <v>1</v>
      </c>
    </row>
    <row r="11" spans="1:8">
      <c r="A11" t="s">
        <v>266</v>
      </c>
      <c r="B11" s="26">
        <f>DATA_QUALITY!B34</f>
        <v>1</v>
      </c>
    </row>
    <row r="12" spans="1:8">
      <c r="A12" t="s">
        <v>267</v>
      </c>
      <c r="B12" s="26">
        <f>DATA_QUALITY!B33</f>
        <v>3</v>
      </c>
    </row>
    <row r="13" spans="1:8">
      <c r="A13" t="s">
        <v>268</v>
      </c>
      <c r="B13" s="26">
        <f>DATA_QUALITY!B36</f>
        <v>0</v>
      </c>
    </row>
    <row r="16" spans="1:8">
      <c r="A16" s="12" t="s">
        <v>269</v>
      </c>
      <c r="B16" s="11" t="s">
        <v>270</v>
      </c>
    </row>
    <row r="17" spans="1:6">
      <c r="A17" s="21" t="s">
        <v>111</v>
      </c>
      <c r="B17" s="13">
        <f>DATA_QUALITY!B5</f>
        <v>2</v>
      </c>
    </row>
    <row r="18" spans="1:6">
      <c r="A18" s="21" t="s">
        <v>112</v>
      </c>
      <c r="B18" s="13">
        <f>DATA_QUALITY!B6</f>
        <v>1</v>
      </c>
    </row>
    <row r="19" spans="1:6">
      <c r="A19" s="21" t="s">
        <v>113</v>
      </c>
      <c r="B19" s="13">
        <f>DATA_QUALITY!B7</f>
        <v>1</v>
      </c>
    </row>
    <row r="20" spans="1:6">
      <c r="A20" s="21" t="s">
        <v>114</v>
      </c>
      <c r="B20" s="13">
        <f>DATA_QUALITY!B8</f>
        <v>1</v>
      </c>
    </row>
    <row r="21" spans="1:6">
      <c r="A21" s="22" t="s">
        <v>115</v>
      </c>
      <c r="B21" s="14">
        <f>DATA_QUALITY!B9</f>
        <v>3</v>
      </c>
    </row>
    <row r="24" spans="1:6">
      <c r="A24" s="12" t="s">
        <v>271</v>
      </c>
      <c r="B24" s="15" t="s">
        <v>270</v>
      </c>
    </row>
    <row r="25" spans="1:6">
      <c r="A25" s="21" t="s">
        <v>272</v>
      </c>
      <c r="B25" s="17">
        <f>DATA_QUALITY!B26</f>
        <v>1</v>
      </c>
    </row>
    <row r="26" spans="1:6">
      <c r="A26" s="21" t="s">
        <v>273</v>
      </c>
      <c r="B26" s="13">
        <f>DATA_QUALITY!B27</f>
        <v>1</v>
      </c>
    </row>
    <row r="27" spans="1:6">
      <c r="A27" s="22" t="s">
        <v>274</v>
      </c>
      <c r="B27" s="14">
        <f>DATA_QUALITY!B28</f>
        <v>1</v>
      </c>
    </row>
    <row r="28" spans="1:6">
      <c r="B28" s="16"/>
    </row>
    <row r="30" spans="1:6" ht="18.75">
      <c r="A30" s="47" t="s">
        <v>16</v>
      </c>
      <c r="B30" s="48"/>
      <c r="C30" s="48"/>
      <c r="D30" s="48"/>
      <c r="E30" s="49"/>
      <c r="F30" s="34"/>
    </row>
    <row r="31" spans="1:6">
      <c r="A31" s="28" t="s">
        <v>275</v>
      </c>
      <c r="B31" s="24" t="s">
        <v>276</v>
      </c>
      <c r="C31" s="25"/>
      <c r="D31" s="25"/>
      <c r="E31" s="29"/>
    </row>
    <row r="32" spans="1:6">
      <c r="A32" s="28" t="s">
        <v>237</v>
      </c>
      <c r="B32" s="24" t="s">
        <v>277</v>
      </c>
      <c r="C32" s="25"/>
      <c r="D32" s="25"/>
      <c r="E32" s="29"/>
    </row>
    <row r="33" spans="1:5">
      <c r="A33" s="28" t="s">
        <v>278</v>
      </c>
      <c r="B33" s="24" t="s">
        <v>279</v>
      </c>
      <c r="C33" s="25"/>
      <c r="D33" s="25"/>
      <c r="E33" s="29"/>
    </row>
    <row r="34" spans="1:5">
      <c r="A34" s="30" t="s">
        <v>280</v>
      </c>
      <c r="B34" s="31" t="s">
        <v>281</v>
      </c>
      <c r="C34" s="32"/>
      <c r="D34" s="32"/>
      <c r="E34" s="33"/>
    </row>
  </sheetData>
  <mergeCells count="11">
    <mergeCell ref="A30:E30"/>
    <mergeCell ref="A1:H1"/>
    <mergeCell ref="A2:H2"/>
    <mergeCell ref="A4:B4"/>
    <mergeCell ref="A5:B6"/>
    <mergeCell ref="C4:D4"/>
    <mergeCell ref="C5:D5"/>
    <mergeCell ref="E4:F4"/>
    <mergeCell ref="E6:F6"/>
    <mergeCell ref="G4:H4"/>
    <mergeCell ref="G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2026-09-25T14:19:39Z</dcterms:created>
  <dcterms:modified xsi:type="dcterms:W3CDTF">2026-10-12T14:03:47Z</dcterms:modified>
  <cp:category/>
  <cp:contentStatus/>
</cp:coreProperties>
</file>